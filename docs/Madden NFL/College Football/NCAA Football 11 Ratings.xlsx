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Madden NFL/College Football/"/>
    </mc:Choice>
  </mc:AlternateContent>
  <xr:revisionPtr revIDLastSave="42114" documentId="11_AD4DF034E34935FBC521DCD7BFD97F025BDEDD8C" xr6:coauthVersionLast="47" xr6:coauthVersionMax="47" xr10:uidLastSave="{72E15BF0-0B72-4DC4-A390-E9995D249DAB}"/>
  <bookViews>
    <workbookView xWindow="0" yWindow="420" windowWidth="22956" windowHeight="10440" activeTab="1" xr2:uid="{00000000-000D-0000-FFFF-FFFF00000000}"/>
  </bookViews>
  <sheets>
    <sheet name="Players" sheetId="1" r:id="rId1"/>
    <sheet name="Teams" sheetId="2" r:id="rId2"/>
    <sheet name="Conferences" sheetId="6" r:id="rId3"/>
    <sheet name="Draft Players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2" i="2" l="1"/>
  <c r="E112" i="2" s="1"/>
  <c r="D105" i="2"/>
  <c r="E105" i="2" s="1"/>
  <c r="D106" i="2"/>
  <c r="E106" i="2" s="1"/>
  <c r="D59" i="2"/>
  <c r="E59" i="2" s="1"/>
  <c r="D58" i="2"/>
  <c r="E58" i="2" s="1"/>
  <c r="D120" i="2"/>
  <c r="E120" i="2" s="1"/>
  <c r="D49" i="2"/>
  <c r="E49" i="2" s="1"/>
  <c r="D50" i="2"/>
  <c r="E50" i="2" s="1"/>
  <c r="D53" i="2"/>
  <c r="E53" i="2" s="1"/>
  <c r="D118" i="2"/>
  <c r="E118" i="2" s="1"/>
  <c r="D115" i="2"/>
  <c r="E115" i="2" s="1"/>
  <c r="D117" i="2"/>
  <c r="E117" i="2" s="1"/>
  <c r="D114" i="2"/>
  <c r="E114" i="2" s="1"/>
  <c r="D56" i="2"/>
  <c r="E56" i="2" s="1"/>
  <c r="D113" i="2"/>
  <c r="E113" i="2" s="1"/>
  <c r="D116" i="2"/>
  <c r="E116" i="2" s="1"/>
  <c r="D121" i="2"/>
  <c r="E121" i="2" s="1"/>
  <c r="D107" i="2"/>
  <c r="E107" i="2" s="1"/>
  <c r="D104" i="2"/>
  <c r="E104" i="2" s="1"/>
  <c r="D108" i="2"/>
  <c r="E108" i="2" s="1"/>
  <c r="D109" i="2"/>
  <c r="E109" i="2" s="1"/>
  <c r="D119" i="2"/>
  <c r="E119" i="2" s="1"/>
  <c r="D111" i="2"/>
  <c r="E111" i="2" s="1"/>
  <c r="D110" i="2"/>
  <c r="E110" i="2" s="1"/>
  <c r="D99" i="2"/>
  <c r="E99" i="2" s="1"/>
  <c r="D100" i="2"/>
  <c r="E100" i="2" s="1"/>
  <c r="D93" i="2"/>
  <c r="E93" i="2" s="1"/>
  <c r="D92" i="2"/>
  <c r="E92" i="2" s="1"/>
  <c r="D98" i="2"/>
  <c r="E98" i="2" s="1"/>
  <c r="D94" i="2"/>
  <c r="E94" i="2" s="1"/>
  <c r="D103" i="2"/>
  <c r="E103" i="2" s="1"/>
  <c r="D97" i="2"/>
  <c r="E97" i="2" s="1"/>
  <c r="D101" i="2"/>
  <c r="E101" i="2" s="1"/>
  <c r="D95" i="2"/>
  <c r="E95" i="2" s="1"/>
  <c r="D96" i="2"/>
  <c r="E96" i="2" s="1"/>
  <c r="D102" i="2"/>
  <c r="E102" i="2" s="1"/>
  <c r="D90" i="2"/>
  <c r="E90" i="2" s="1"/>
  <c r="D83" i="2"/>
  <c r="E83" i="2" s="1"/>
  <c r="D87" i="2"/>
  <c r="E87" i="2" s="1"/>
  <c r="D91" i="2"/>
  <c r="E91" i="2" s="1"/>
  <c r="D85" i="2"/>
  <c r="E85" i="2" s="1"/>
  <c r="D88" i="2"/>
  <c r="E88" i="2" s="1"/>
  <c r="D86" i="2"/>
  <c r="E86" i="2" s="1"/>
  <c r="D82" i="2"/>
  <c r="E82" i="2" s="1"/>
  <c r="D84" i="2"/>
  <c r="E84" i="2" s="1"/>
  <c r="D89" i="2"/>
  <c r="E89" i="2" s="1"/>
  <c r="D79" i="2"/>
  <c r="E79" i="2" s="1"/>
  <c r="D77" i="2"/>
  <c r="E77" i="2" s="1"/>
  <c r="D75" i="2"/>
  <c r="E75" i="2" s="1"/>
  <c r="D73" i="2"/>
  <c r="E73" i="2" s="1"/>
  <c r="D81" i="2"/>
  <c r="E81" i="2" s="1"/>
  <c r="D74" i="2"/>
  <c r="E74" i="2" s="1"/>
  <c r="D76" i="2"/>
  <c r="E76" i="2" s="1"/>
  <c r="D80" i="2"/>
  <c r="E80" i="2" s="1"/>
  <c r="D72" i="2"/>
  <c r="E72" i="2" s="1"/>
  <c r="D61" i="2"/>
  <c r="E61" i="2" s="1"/>
  <c r="D64" i="2"/>
  <c r="E64" i="2" s="1"/>
  <c r="D65" i="2"/>
  <c r="E65" i="2" s="1"/>
  <c r="D62" i="2"/>
  <c r="E62" i="2" s="1"/>
  <c r="D68" i="2"/>
  <c r="E68" i="2" s="1"/>
  <c r="D71" i="2"/>
  <c r="E71" i="2" s="1"/>
  <c r="D55" i="2"/>
  <c r="E55" i="2" s="1"/>
  <c r="D63" i="2"/>
  <c r="E63" i="2" s="1"/>
  <c r="D69" i="2"/>
  <c r="E69" i="2" s="1"/>
  <c r="D66" i="2"/>
  <c r="E66" i="2" s="1"/>
  <c r="D47" i="2"/>
  <c r="E47" i="2" s="1"/>
  <c r="D60" i="2"/>
  <c r="E60" i="2" s="1"/>
  <c r="D67" i="2"/>
  <c r="E67" i="2" s="1"/>
  <c r="D57" i="2"/>
  <c r="E57" i="2" s="1"/>
  <c r="D45" i="2"/>
  <c r="E45" i="2" s="1"/>
  <c r="D46" i="2"/>
  <c r="E46" i="2" s="1"/>
  <c r="D31" i="2"/>
  <c r="E31" i="2" s="1"/>
  <c r="D52" i="2"/>
  <c r="E52" i="2" s="1"/>
  <c r="D78" i="2"/>
  <c r="E78" i="2" s="1"/>
  <c r="D54" i="2"/>
  <c r="E54" i="2" s="1"/>
  <c r="D26" i="2"/>
  <c r="E26" i="2" s="1"/>
  <c r="D51" i="2"/>
  <c r="E51" i="2" s="1"/>
  <c r="D48" i="2"/>
  <c r="E48" i="2" s="1"/>
  <c r="D28" i="2"/>
  <c r="E28" i="2" s="1"/>
  <c r="D35" i="2"/>
  <c r="E35" i="2" s="1"/>
  <c r="D34" i="2"/>
  <c r="E34" i="2" s="1"/>
  <c r="D42" i="2"/>
  <c r="E42" i="2" s="1"/>
  <c r="D39" i="2"/>
  <c r="E39" i="2" s="1"/>
  <c r="D37" i="2"/>
  <c r="E37" i="2" s="1"/>
  <c r="D43" i="2"/>
  <c r="E43" i="2" s="1"/>
  <c r="D41" i="2"/>
  <c r="E41" i="2" s="1"/>
  <c r="D40" i="2"/>
  <c r="E40" i="2" s="1"/>
  <c r="D44" i="2"/>
  <c r="E44" i="2" s="1"/>
  <c r="D36" i="2"/>
  <c r="E36" i="2" s="1"/>
  <c r="D38" i="2"/>
  <c r="E38" i="2" s="1"/>
  <c r="D70" i="2"/>
  <c r="E70" i="2" s="1"/>
  <c r="D30" i="2"/>
  <c r="E30" i="2" s="1"/>
  <c r="D27" i="2"/>
  <c r="E27" i="2" s="1"/>
  <c r="D32" i="2"/>
  <c r="E32" i="2" s="1"/>
  <c r="D33" i="2"/>
  <c r="E33" i="2" s="1"/>
  <c r="D29" i="2"/>
  <c r="E29" i="2" s="1"/>
  <c r="D2" i="2"/>
  <c r="E2" i="2" s="1"/>
  <c r="D14" i="2"/>
  <c r="E14" i="2" s="1"/>
  <c r="D22" i="2"/>
  <c r="E22" i="2" s="1"/>
  <c r="D25" i="2"/>
  <c r="E25" i="2" s="1"/>
  <c r="D23" i="2"/>
  <c r="E23" i="2" s="1"/>
  <c r="D24" i="2"/>
  <c r="E24" i="2" s="1"/>
  <c r="D21" i="2"/>
  <c r="E21" i="2" s="1"/>
  <c r="D18" i="2"/>
  <c r="E18" i="2" s="1"/>
  <c r="D17" i="2"/>
  <c r="E17" i="2" s="1"/>
  <c r="D19" i="2"/>
  <c r="E19" i="2" s="1"/>
  <c r="D20" i="2"/>
  <c r="E20" i="2" s="1"/>
  <c r="D16" i="2"/>
  <c r="E16" i="2" s="1"/>
  <c r="D15" i="2"/>
  <c r="E15" i="2" s="1"/>
  <c r="D4" i="2"/>
  <c r="E4" i="2" s="1"/>
  <c r="D13" i="2"/>
  <c r="E13" i="2" s="1"/>
  <c r="D7" i="2"/>
  <c r="E7" i="2" s="1"/>
  <c r="D9" i="2"/>
  <c r="E9" i="2" s="1"/>
  <c r="D3" i="2"/>
  <c r="E3" i="2" s="1"/>
  <c r="D6" i="2"/>
  <c r="E6" i="2" s="1"/>
  <c r="D10" i="2"/>
  <c r="E10" i="2" s="1"/>
  <c r="D11" i="2"/>
  <c r="E11" i="2" s="1"/>
  <c r="D8" i="2"/>
  <c r="E8" i="2" s="1"/>
  <c r="D5" i="2"/>
  <c r="E5" i="2" s="1"/>
  <c r="B7" i="6"/>
  <c r="B13" i="6"/>
  <c r="B12" i="6"/>
  <c r="B11" i="6"/>
  <c r="B10" i="6"/>
  <c r="B9" i="6"/>
  <c r="B8" i="6"/>
  <c r="B6" i="6"/>
  <c r="B5" i="6"/>
  <c r="B4" i="6"/>
  <c r="B3" i="6"/>
  <c r="B2" i="6"/>
  <c r="D12" i="2"/>
  <c r="E12" i="2" s="1"/>
  <c r="F2" i="5"/>
  <c r="F3" i="5"/>
  <c r="F4" i="5"/>
  <c r="F5" i="5"/>
  <c r="F6" i="5"/>
  <c r="E2" i="5"/>
  <c r="E3" i="5"/>
  <c r="E4" i="5"/>
  <c r="E5" i="5"/>
  <c r="E6" i="5"/>
  <c r="C4" i="5"/>
  <c r="C6" i="5"/>
  <c r="D4" i="5"/>
  <c r="B4" i="5" s="1"/>
  <c r="D6" i="5"/>
  <c r="B6" i="5" s="1"/>
  <c r="C3" i="5"/>
  <c r="D3" i="5"/>
  <c r="B3" i="5" s="1"/>
  <c r="C5" i="5"/>
  <c r="D5" i="5"/>
  <c r="B5" i="5" s="1"/>
  <c r="D2" i="5"/>
  <c r="B2" i="5" s="1"/>
  <c r="C2" i="5"/>
</calcChain>
</file>

<file path=xl/sharedStrings.xml><?xml version="1.0" encoding="utf-8"?>
<sst xmlns="http://schemas.openxmlformats.org/spreadsheetml/2006/main" count="393" uniqueCount="191">
  <si>
    <t>Player</t>
  </si>
  <si>
    <t>Number Players</t>
  </si>
  <si>
    <t>Position</t>
  </si>
  <si>
    <t>Rating</t>
  </si>
  <si>
    <t>Total Players</t>
  </si>
  <si>
    <t>NFL Draft Pick</t>
  </si>
  <si>
    <t>NFL Draft Year</t>
  </si>
  <si>
    <t>Team</t>
  </si>
  <si>
    <t>Draft</t>
  </si>
  <si>
    <t>Drafted Players</t>
  </si>
  <si>
    <t>Average Rating</t>
  </si>
  <si>
    <t>Players +90 Overall</t>
  </si>
  <si>
    <t>Players 80-89 Overall</t>
  </si>
  <si>
    <t>College Class</t>
  </si>
  <si>
    <t>Conference</t>
  </si>
  <si>
    <t>Number Teams</t>
  </si>
  <si>
    <t>State</t>
  </si>
  <si>
    <t>Missing Players</t>
  </si>
  <si>
    <t>Atlantic Coast Conference</t>
  </si>
  <si>
    <t>Big 12 Conference</t>
  </si>
  <si>
    <t>Big East Conference</t>
  </si>
  <si>
    <t>Big Ten Conference</t>
  </si>
  <si>
    <t>Conference USA</t>
  </si>
  <si>
    <t>Mid-American Conference</t>
  </si>
  <si>
    <t>Mountain West Conference</t>
  </si>
  <si>
    <t>Pacific-10 Conference</t>
  </si>
  <si>
    <t>Southeastern Conference</t>
  </si>
  <si>
    <t>Sun Belt Conference</t>
  </si>
  <si>
    <t>Western Athletic Conference</t>
  </si>
  <si>
    <t>Independents</t>
  </si>
  <si>
    <t>Virginia Tech Hokies</t>
  </si>
  <si>
    <t>Florida State Seminoles</t>
  </si>
  <si>
    <t>Miami Hurricanes</t>
  </si>
  <si>
    <t>Virginia Cavaliers</t>
  </si>
  <si>
    <t>North Carolina Tar Heels</t>
  </si>
  <si>
    <t>Georgia Tech Yellow Jackets</t>
  </si>
  <si>
    <t>Clemson Tigers</t>
  </si>
  <si>
    <t>NC State Wolfpack</t>
  </si>
  <si>
    <t>Maryland Terrapins</t>
  </si>
  <si>
    <t>Wake Forest Demon Deacons</t>
  </si>
  <si>
    <t>Duke Blue Devils</t>
  </si>
  <si>
    <t>Colorado Buffaloes</t>
  </si>
  <si>
    <t>Iowa State Cyclones</t>
  </si>
  <si>
    <t>Nebraska Cornhuskers</t>
  </si>
  <si>
    <t>Missouri Tigers</t>
  </si>
  <si>
    <t>Kansas Jayhawks</t>
  </si>
  <si>
    <t>Kansas State Wildcats</t>
  </si>
  <si>
    <t>Oklahoma Sooners</t>
  </si>
  <si>
    <t>Texas Longhorns</t>
  </si>
  <si>
    <t>Texas A&amp;M Aggies</t>
  </si>
  <si>
    <t>Texas Tech Red Raiders</t>
  </si>
  <si>
    <t>Oklahoma State Cowboys</t>
  </si>
  <si>
    <t>Baylor Bears</t>
  </si>
  <si>
    <t>Boston College Eagles</t>
  </si>
  <si>
    <t>Pittsburgh Panthers</t>
  </si>
  <si>
    <t>West Virginia Mountaineers</t>
  </si>
  <si>
    <t>Syracuse Orange</t>
  </si>
  <si>
    <t>Connecticut Huskies</t>
  </si>
  <si>
    <t>Rutgers Scarlet Knights</t>
  </si>
  <si>
    <t>Temple Owls</t>
  </si>
  <si>
    <t>Michigan Wolverines</t>
  </si>
  <si>
    <t>Iowa Hawkeyes</t>
  </si>
  <si>
    <t>Wisconsin Badgers</t>
  </si>
  <si>
    <t>Northwestern Wildcats</t>
  </si>
  <si>
    <t>Ohio State Buckeyes</t>
  </si>
  <si>
    <t>Purdue Boilermakers</t>
  </si>
  <si>
    <t>Michigan State Spartans</t>
  </si>
  <si>
    <t>Minnesota Golden Gophers</t>
  </si>
  <si>
    <t>Penn State Nittany Lions</t>
  </si>
  <si>
    <t>Illinois Fighting Illini</t>
  </si>
  <si>
    <t>Indiana Hoosiers</t>
  </si>
  <si>
    <t>Louisville Cardinals</t>
  </si>
  <si>
    <t>Memphis Tigers</t>
  </si>
  <si>
    <t>Southern Miss Golden Eagles</t>
  </si>
  <si>
    <t>Cincinnati Bearcats</t>
  </si>
  <si>
    <t>UAB Blazers</t>
  </si>
  <si>
    <t>TCU Horned Frogs</t>
  </si>
  <si>
    <t>Tulane Green Wave</t>
  </si>
  <si>
    <t>South Florida Bulls</t>
  </si>
  <si>
    <t>Houston Cougars</t>
  </si>
  <si>
    <t>East Carolina Pirates</t>
  </si>
  <si>
    <t>Army Black Knights</t>
  </si>
  <si>
    <t>Miami RedHawks</t>
  </si>
  <si>
    <t>Akron Zips</t>
  </si>
  <si>
    <t>Marshall Thundering Herd</t>
  </si>
  <si>
    <t>Kent State Golden Flashes</t>
  </si>
  <si>
    <t>Ohio Bobcats</t>
  </si>
  <si>
    <t>Buffalo Bulls</t>
  </si>
  <si>
    <t>UCF Golden Knights</t>
  </si>
  <si>
    <t>Toledo Rockets</t>
  </si>
  <si>
    <t>Northern Illinois Huskies</t>
  </si>
  <si>
    <t>Bowling Green Falcons</t>
  </si>
  <si>
    <t>Eastern Michigan Eagles</t>
  </si>
  <si>
    <t>Central Michigan Chippewas</t>
  </si>
  <si>
    <t>Ball State Cardinals</t>
  </si>
  <si>
    <t>Western Michigan Broncos</t>
  </si>
  <si>
    <t>Utah Utes</t>
  </si>
  <si>
    <t>New Mexico Lobos</t>
  </si>
  <si>
    <t>BYU Cougars</t>
  </si>
  <si>
    <t>Wyoming Cowboys</t>
  </si>
  <si>
    <t>Air Force Falcons</t>
  </si>
  <si>
    <t>Colorado State Rams</t>
  </si>
  <si>
    <t>San Diego State Aztecs</t>
  </si>
  <si>
    <t>UNLV Rebels</t>
  </si>
  <si>
    <t>USC Trojans</t>
  </si>
  <si>
    <t>California Golden Bears</t>
  </si>
  <si>
    <t>Arizona State Sun Devils</t>
  </si>
  <si>
    <t>Oregon State Beavers</t>
  </si>
  <si>
    <t>UCLA Bruins</t>
  </si>
  <si>
    <t>Oregon Ducks</t>
  </si>
  <si>
    <t>Washington State Cougars</t>
  </si>
  <si>
    <t>Stanford Cardinal</t>
  </si>
  <si>
    <t>Arizona Wildcats</t>
  </si>
  <si>
    <t>Washington Huskies</t>
  </si>
  <si>
    <t>Tennessee Volunteers</t>
  </si>
  <si>
    <t>Georgia Bulldogs</t>
  </si>
  <si>
    <t>Florida Gators</t>
  </si>
  <si>
    <t>South Carolina Gamecocks</t>
  </si>
  <si>
    <t>Kentucky Wildcats</t>
  </si>
  <si>
    <t>Vanderbilt Commodores</t>
  </si>
  <si>
    <t>Auburn Tigers</t>
  </si>
  <si>
    <t>LSU Tigers</t>
  </si>
  <si>
    <t>Alabama Crimson Tide</t>
  </si>
  <si>
    <t>Arkansas Razorbacks</t>
  </si>
  <si>
    <t>Ole Miss Rebels</t>
  </si>
  <si>
    <t>Mississippi State Bulldogs</t>
  </si>
  <si>
    <t>North Texas Mean Green</t>
  </si>
  <si>
    <t>Troy Trojans</t>
  </si>
  <si>
    <t>New Mexico State Aggies</t>
  </si>
  <si>
    <t>Middle Tennessee Blue Raiders</t>
  </si>
  <si>
    <t>Louisiana-Monroe Warhawks</t>
  </si>
  <si>
    <t>Arkansas State Red Wolves</t>
  </si>
  <si>
    <t>Utah State Aggies</t>
  </si>
  <si>
    <t>Idaho Vandals</t>
  </si>
  <si>
    <t>Louisiana Ragin' Cajuns</t>
  </si>
  <si>
    <t>Boise State Broncos</t>
  </si>
  <si>
    <t>UTEP Miners</t>
  </si>
  <si>
    <t>Fresno State Bulldogs</t>
  </si>
  <si>
    <t>Louisiana Tech Bulldogs</t>
  </si>
  <si>
    <t>Nevada Wolfpack</t>
  </si>
  <si>
    <t>Tulsa Golden Hurricane</t>
  </si>
  <si>
    <t>SMU Mustangs</t>
  </si>
  <si>
    <t>Rice Owls</t>
  </si>
  <si>
    <t>San Jose State Spartans</t>
  </si>
  <si>
    <t>Hawaii Rainbow Warriors</t>
  </si>
  <si>
    <t>Notre Dame Fighting Irish</t>
  </si>
  <si>
    <t>Navy Midshipmen</t>
  </si>
  <si>
    <t>Florida Atlantic Owls</t>
  </si>
  <si>
    <t>FIU Golden Panthers</t>
  </si>
  <si>
    <t>California</t>
  </si>
  <si>
    <t>Colorado</t>
  </si>
  <si>
    <t>Connecticut</t>
  </si>
  <si>
    <t>Florida</t>
  </si>
  <si>
    <t>Texas</t>
  </si>
  <si>
    <t>Illinois</t>
  </si>
  <si>
    <t>Utah</t>
  </si>
  <si>
    <t>Georgia</t>
  </si>
  <si>
    <t>Hawaii</t>
  </si>
  <si>
    <t>Idaho</t>
  </si>
  <si>
    <t>Indiana</t>
  </si>
  <si>
    <t>Iowa</t>
  </si>
  <si>
    <t>Kansas</t>
  </si>
  <si>
    <t>Kentucky</t>
  </si>
  <si>
    <t>Louisiana</t>
  </si>
  <si>
    <t>Tennessee</t>
  </si>
  <si>
    <t>New York</t>
  </si>
  <si>
    <t>Pennsylvania</t>
  </si>
  <si>
    <t>Ohio</t>
  </si>
  <si>
    <t>Alabama</t>
  </si>
  <si>
    <t>Arizona</t>
  </si>
  <si>
    <t>Arkansas</t>
  </si>
  <si>
    <t>Massachusetts</t>
  </si>
  <si>
    <t>Michigan</t>
  </si>
  <si>
    <t>South Carolina</t>
  </si>
  <si>
    <t>North Carolina</t>
  </si>
  <si>
    <t>Maryland</t>
  </si>
  <si>
    <t>Missouri</t>
  </si>
  <si>
    <t>Nebraska</t>
  </si>
  <si>
    <t>Nevada</t>
  </si>
  <si>
    <t>Oklahoma</t>
  </si>
  <si>
    <t>Oregon</t>
  </si>
  <si>
    <t>Virginia</t>
  </si>
  <si>
    <t>Washington</t>
  </si>
  <si>
    <t>Wisconsin</t>
  </si>
  <si>
    <t>Wyoming</t>
  </si>
  <si>
    <t>West Virginia</t>
  </si>
  <si>
    <t>Minnesota</t>
  </si>
  <si>
    <t>Mississippi</t>
  </si>
  <si>
    <t>New Mexico</t>
  </si>
  <si>
    <t>New Jersey</t>
  </si>
  <si>
    <t>Western Kentucky Hilltoppers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</si>
</sst>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2" fontId="2" fillId="0" borderId="0" xfId="0" applyNumberFormat="1" applyFont="1"/>
  </cellXfs>
  <cellStyles count="1">
    <cellStyle name="Normal" xfId="0" builtinId="0"/>
  </cellStyles>
  <dxfs count="25">
    <dxf>
      <font>
        <b/>
        <i val="0"/>
      </font>
      <numFmt numFmtId="0" formatCode="General"/>
    </dxf>
    <dxf>
      <font>
        <b/>
        <i val="0"/>
      </font>
      <numFmt numFmtId="0" formatCode="General"/>
    </dxf>
    <dxf>
      <font>
        <b/>
        <i val="0"/>
      </font>
      <numFmt numFmtId="0" formatCode="General"/>
    </dxf>
    <dxf>
      <font>
        <b/>
        <i val="0"/>
      </font>
      <numFmt numFmtId="0" formatCode="General"/>
    </dxf>
    <dxf>
      <font>
        <b/>
        <i val="0"/>
      </font>
      <numFmt numFmtId="2" formatCode="0.00"/>
    </dxf>
    <dxf>
      <font>
        <b/>
        <i val="0"/>
      </font>
    </dxf>
    <dxf>
      <font>
        <b/>
        <i val="0"/>
      </font>
    </dxf>
    <dxf>
      <font>
        <b/>
      </font>
    </dxf>
    <dxf>
      <font>
        <b/>
      </font>
    </dxf>
    <dxf>
      <font>
        <b/>
      </font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G2" insertRow="1" totalsRowShown="0" dataDxfId="24">
  <autoFilter ref="A1:G2" xr:uid="{EFE01862-7712-4B95-AB17-44312383458C}"/>
  <sortState xmlns:xlrd2="http://schemas.microsoft.com/office/spreadsheetml/2017/richdata2" ref="A2:G2">
    <sortCondition descending="1" ref="B1:B2"/>
  </sortState>
  <tableColumns count="7">
    <tableColumn id="1" xr3:uid="{45DD2C62-7C3E-42FD-99E1-1C11CC08F3BC}" name="Player" dataDxfId="23"/>
    <tableColumn id="94" xr3:uid="{811BEBA5-05F0-43E2-ACD7-30037F742D95}" name="Rating" dataDxfId="22"/>
    <tableColumn id="95" xr3:uid="{F0C178E4-4090-42AF-B2B8-45EB32788498}" name="Position" dataDxfId="21"/>
    <tableColumn id="96" xr3:uid="{D7710C5A-8FC6-4CD2-981E-D7714AC8B0B1}" name="Team" dataDxfId="20"/>
    <tableColumn id="6" xr3:uid="{EAFB4AAE-AEBB-4D04-A394-E176AD005B52}" name="College Class" dataDxfId="19"/>
    <tableColumn id="3" xr3:uid="{E66A785D-A579-46ED-8B8B-B4340A4EB120}" name="NFL Draft Pick" dataDxfId="18"/>
    <tableColumn id="4" xr3:uid="{DBC1FC4E-71D0-42F6-917D-030D8AFAD02B}" name="NFL Draft Year" dataDxfId="17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F121" totalsRowShown="0" dataDxfId="16">
  <autoFilter ref="A1:F121" xr:uid="{9B6505AB-A5DD-4D95-AC4E-61525CC9AAB8}"/>
  <sortState xmlns:xlrd2="http://schemas.microsoft.com/office/spreadsheetml/2017/richdata2" ref="A2:F121">
    <sortCondition ref="C1:C121"/>
  </sortState>
  <tableColumns count="6">
    <tableColumn id="1" xr3:uid="{3C0468BE-8281-499F-8CD2-E83026C0E02C}" name="Team" dataDxfId="15"/>
    <tableColumn id="2" xr3:uid="{C53DFEC1-CC21-4EEA-97C2-F9B2DCE9ABF2}" name="State" dataDxfId="14"/>
    <tableColumn id="3" xr3:uid="{6FACB05C-1DF7-4EA6-BC93-4081674D8DA1}" name="Conference" dataDxfId="13"/>
    <tableColumn id="5" xr3:uid="{D459AB18-454B-4998-9648-6D7558734687}" name="Number Players" dataDxfId="12">
      <calculatedColumnFormula>COUNTIF(Tabela1[Team],Tabela2[[#This Row],[Team]])</calculatedColumnFormula>
    </tableColumn>
    <tableColumn id="4" xr3:uid="{A2F68200-4379-4D66-913F-BED255FCA1C0}" name="Missing Players" dataDxfId="11">
      <calculatedColumnFormula>Tabela2[[#This Row],[Number Players]]-Tabela2[[#This Row],[Total Players]]</calculatedColumnFormula>
    </tableColumn>
    <tableColumn id="6" xr3:uid="{F70948CF-6554-4CC6-82C8-A3DD133183E4}" name="Total Players" dataDxfId="10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3F1576C-CDF4-4027-B74D-1A9ACEDDF346}" name="Tabela4" displayName="Tabela4" ref="A1:B13" totalsRowShown="0" dataDxfId="9">
  <autoFilter ref="A1:B13" xr:uid="{B3F1576C-CDF4-4027-B74D-1A9ACEDDF346}"/>
  <sortState xmlns:xlrd2="http://schemas.microsoft.com/office/spreadsheetml/2017/richdata2" ref="A2:B13">
    <sortCondition ref="A1:A13"/>
  </sortState>
  <tableColumns count="2">
    <tableColumn id="1" xr3:uid="{6779CDC8-679F-412E-A361-3E61F701AD91}" name="Conference" dataDxfId="8"/>
    <tableColumn id="2" xr3:uid="{EFA47C6D-5EC8-4CAB-8643-A43B158B18EA}" name="Number Teams" dataDxfId="7">
      <calculatedColumnFormula>COUNTIF(Tabela2[Conference],Tabela4[[#This Row],[Conference]])</calculatedColumnFormula>
    </tableColumn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F2AC84-804A-4683-882C-C66DBC24607D}" name="Tabela3" displayName="Tabela3" ref="A1:F6" totalsRowShown="0" dataDxfId="6">
  <autoFilter ref="A1:F6" xr:uid="{EEF2AC84-804A-4683-882C-C66DBC24607D}"/>
  <sortState xmlns:xlrd2="http://schemas.microsoft.com/office/spreadsheetml/2017/richdata2" ref="A2:F6">
    <sortCondition descending="1" ref="B1:B6"/>
  </sortState>
  <tableColumns count="6">
    <tableColumn id="1" xr3:uid="{855D4EB4-9945-4277-A2E9-8F0BC7EE79EA}" name="Draft" dataDxfId="5"/>
    <tableColumn id="5" xr3:uid="{F3ACFF48-44F3-436A-A993-5D219AE617C5}" name="Average Rating" dataDxfId="4">
      <calculatedColumnFormula>SUMIFS(Tabela1[Rating],Tabela1[NFL Draft Year],Tabela3[[#This Row],[Draft]])/Tabela3[[#This Row],[Total Players]]</calculatedColumnFormula>
    </tableColumn>
    <tableColumn id="2" xr3:uid="{C4D1DDF3-CC75-49C1-A283-C53AD20D1935}" name="Drafted Players" dataDxfId="3">
      <calculatedColumnFormula>COUNTIFS(Tabela1[NFL Draft Year],Tabela3[[#This Row],[Draft]],Tabela1[NFL Draft Pick],"&gt;0")</calculatedColumnFormula>
    </tableColumn>
    <tableColumn id="3" xr3:uid="{650D3B83-3E1A-47A4-A059-6373CC46D425}" name="Total Players" dataDxfId="2">
      <calculatedColumnFormula>COUNTIFS(Tabela1[NFL Draft Year],Tabela3[[#This Row],[Draft]])</calculatedColumnFormula>
    </tableColumn>
    <tableColumn id="6" xr3:uid="{C1AC2DF4-0C7B-4F58-A3F4-CDE6E3EAE615}" name="Players 80-89 Overall" dataDxfId="1">
      <calculatedColumnFormula>COUNTIFS(Tabela1[NFL Draft Year],Tabela3[[#This Row],[Draft]],Tabela1[Rating],"&lt;90")-COUNTIFS(Tabela1[NFL Draft Year],Tabela3[[#This Row],[Draft]],Tabela1[Rating],"&lt;80")</calculatedColumnFormula>
    </tableColumn>
    <tableColumn id="7" xr3:uid="{14CDA920-3C3F-43C6-A43E-7CD6F36B9311}" name="Players +90 Overall" dataDxfId="0">
      <calculatedColumnFormula>COUNTIFS(Tabela1[NFL Draft Year],Tabela3[[#This Row],[Draft]],Tabela1[Rating],"&lt;100")-COUNTIFS(Tabela1[NFL Draft Year],Tabela3[[#This Row],[Draft]],Tabela1[Rating],"&lt;90")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>
      <selection activeCell="B2" sqref="B2"/>
    </sheetView>
  </sheetViews>
  <sheetFormatPr defaultRowHeight="14.4" x14ac:dyDescent="0.3"/>
  <cols>
    <col min="1" max="1" width="24.44140625" bestFit="1" customWidth="1"/>
    <col min="2" max="2" width="8.5546875" bestFit="1" customWidth="1"/>
    <col min="3" max="3" width="17.21875" bestFit="1" customWidth="1"/>
    <col min="4" max="4" width="26.88671875" bestFit="1" customWidth="1"/>
    <col min="5" max="5" width="13.88671875" bestFit="1" customWidth="1"/>
    <col min="6" max="6" width="14.88671875" bestFit="1" customWidth="1"/>
    <col min="7" max="7" width="15.109375" bestFit="1" customWidth="1"/>
  </cols>
  <sheetData>
    <row r="1" spans="1:7" x14ac:dyDescent="0.3">
      <c r="A1" t="s">
        <v>0</v>
      </c>
      <c r="B1" t="s">
        <v>3</v>
      </c>
      <c r="C1" t="s">
        <v>2</v>
      </c>
      <c r="D1" t="s">
        <v>7</v>
      </c>
      <c r="E1" t="s">
        <v>13</v>
      </c>
      <c r="F1" t="s">
        <v>5</v>
      </c>
      <c r="G1" t="s">
        <v>6</v>
      </c>
    </row>
    <row r="2" spans="1:7" x14ac:dyDescent="0.3">
      <c r="A2" s="1"/>
      <c r="B2" s="1"/>
      <c r="C2" s="1"/>
      <c r="D2" s="1"/>
      <c r="E2" s="1"/>
      <c r="F2" s="1"/>
      <c r="G2" s="1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F121"/>
  <sheetViews>
    <sheetView tabSelected="1" topLeftCell="A115" workbookViewId="0">
      <selection activeCell="B122" sqref="B122"/>
    </sheetView>
  </sheetViews>
  <sheetFormatPr defaultRowHeight="14.4" x14ac:dyDescent="0.3"/>
  <cols>
    <col min="1" max="1" width="27.21875" bestFit="1" customWidth="1"/>
    <col min="2" max="2" width="13.44140625" bestFit="1" customWidth="1"/>
    <col min="3" max="3" width="25.44140625" bestFit="1" customWidth="1"/>
    <col min="4" max="4" width="16.6640625" bestFit="1" customWidth="1"/>
    <col min="5" max="5" width="16.109375" bestFit="1" customWidth="1"/>
    <col min="6" max="6" width="13.88671875" bestFit="1" customWidth="1"/>
  </cols>
  <sheetData>
    <row r="1" spans="1:6" x14ac:dyDescent="0.3">
      <c r="A1" t="s">
        <v>7</v>
      </c>
      <c r="B1" t="s">
        <v>16</v>
      </c>
      <c r="C1" t="s">
        <v>14</v>
      </c>
      <c r="D1" t="s">
        <v>1</v>
      </c>
      <c r="E1" t="s">
        <v>17</v>
      </c>
      <c r="F1" t="s">
        <v>4</v>
      </c>
    </row>
    <row r="2" spans="1:6" x14ac:dyDescent="0.3">
      <c r="A2" s="1" t="s">
        <v>53</v>
      </c>
      <c r="B2" s="1" t="s">
        <v>171</v>
      </c>
      <c r="C2" s="1" t="s">
        <v>18</v>
      </c>
      <c r="D2" s="1">
        <f>COUNTIF(Tabela1[Team],Tabela2[[#This Row],[Team]])</f>
        <v>0</v>
      </c>
      <c r="E2" s="1">
        <f>Tabela2[[#This Row],[Number Players]]-Tabela2[[#This Row],[Total Players]]</f>
        <v>0</v>
      </c>
      <c r="F2" s="1"/>
    </row>
    <row r="3" spans="1:6" x14ac:dyDescent="0.3">
      <c r="A3" s="1" t="s">
        <v>36</v>
      </c>
      <c r="B3" s="1" t="s">
        <v>173</v>
      </c>
      <c r="C3" s="1" t="s">
        <v>18</v>
      </c>
      <c r="D3" s="1">
        <f>COUNTIF(Tabela1[Team],Tabela2[[#This Row],[Team]])</f>
        <v>0</v>
      </c>
      <c r="E3" s="1">
        <f>Tabela2[[#This Row],[Number Players]]-Tabela2[[#This Row],[Total Players]]</f>
        <v>0</v>
      </c>
      <c r="F3" s="1"/>
    </row>
    <row r="4" spans="1:6" x14ac:dyDescent="0.3">
      <c r="A4" s="1" t="s">
        <v>40</v>
      </c>
      <c r="B4" s="1" t="s">
        <v>174</v>
      </c>
      <c r="C4" s="1" t="s">
        <v>18</v>
      </c>
      <c r="D4" s="1">
        <f>COUNTIF(Tabela1[Team],Tabela2[[#This Row],[Team]])</f>
        <v>0</v>
      </c>
      <c r="E4" s="1">
        <f>Tabela2[[#This Row],[Number Players]]-Tabela2[[#This Row],[Total Players]]</f>
        <v>0</v>
      </c>
      <c r="F4" s="1"/>
    </row>
    <row r="5" spans="1:6" x14ac:dyDescent="0.3">
      <c r="A5" s="1" t="s">
        <v>31</v>
      </c>
      <c r="B5" s="1" t="s">
        <v>152</v>
      </c>
      <c r="C5" s="1" t="s">
        <v>18</v>
      </c>
      <c r="D5" s="1">
        <f>COUNTIF(Tabela1[Team],Tabela2[[#This Row],[Team]])</f>
        <v>0</v>
      </c>
      <c r="E5" s="1">
        <f>Tabela2[[#This Row],[Number Players]]-Tabela2[[#This Row],[Total Players]]</f>
        <v>0</v>
      </c>
      <c r="F5" s="1"/>
    </row>
    <row r="6" spans="1:6" x14ac:dyDescent="0.3">
      <c r="A6" s="1" t="s">
        <v>35</v>
      </c>
      <c r="B6" s="1" t="s">
        <v>156</v>
      </c>
      <c r="C6" s="1" t="s">
        <v>18</v>
      </c>
      <c r="D6" s="1">
        <f>COUNTIF(Tabela1[Team],Tabela2[[#This Row],[Team]])</f>
        <v>0</v>
      </c>
      <c r="E6" s="1">
        <f>Tabela2[[#This Row],[Number Players]]-Tabela2[[#This Row],[Total Players]]</f>
        <v>0</v>
      </c>
      <c r="F6" s="1"/>
    </row>
    <row r="7" spans="1:6" x14ac:dyDescent="0.3">
      <c r="A7" s="1" t="s">
        <v>38</v>
      </c>
      <c r="B7" s="1" t="s">
        <v>175</v>
      </c>
      <c r="C7" s="1" t="s">
        <v>18</v>
      </c>
      <c r="D7" s="1">
        <f>COUNTIF(Tabela1[Team],Tabela2[[#This Row],[Team]])</f>
        <v>0</v>
      </c>
      <c r="E7" s="1">
        <f>Tabela2[[#This Row],[Number Players]]-Tabela2[[#This Row],[Total Players]]</f>
        <v>0</v>
      </c>
      <c r="F7" s="1"/>
    </row>
    <row r="8" spans="1:6" x14ac:dyDescent="0.3">
      <c r="A8" s="1" t="s">
        <v>32</v>
      </c>
      <c r="B8" s="1" t="s">
        <v>152</v>
      </c>
      <c r="C8" s="1" t="s">
        <v>18</v>
      </c>
      <c r="D8" s="1">
        <f>COUNTIF(Tabela1[Team],Tabela2[[#This Row],[Team]])</f>
        <v>0</v>
      </c>
      <c r="E8" s="1">
        <f>Tabela2[[#This Row],[Number Players]]-Tabela2[[#This Row],[Total Players]]</f>
        <v>0</v>
      </c>
      <c r="F8" s="1"/>
    </row>
    <row r="9" spans="1:6" x14ac:dyDescent="0.3">
      <c r="A9" s="1" t="s">
        <v>37</v>
      </c>
      <c r="B9" s="1" t="s">
        <v>174</v>
      </c>
      <c r="C9" s="1" t="s">
        <v>18</v>
      </c>
      <c r="D9" s="1">
        <f>COUNTIF(Tabela1[Team],Tabela2[[#This Row],[Team]])</f>
        <v>0</v>
      </c>
      <c r="E9" s="1">
        <f>Tabela2[[#This Row],[Number Players]]-Tabela2[[#This Row],[Total Players]]</f>
        <v>0</v>
      </c>
      <c r="F9" s="1"/>
    </row>
    <row r="10" spans="1:6" x14ac:dyDescent="0.3">
      <c r="A10" s="1" t="s">
        <v>34</v>
      </c>
      <c r="B10" s="1" t="s">
        <v>174</v>
      </c>
      <c r="C10" s="1" t="s">
        <v>18</v>
      </c>
      <c r="D10" s="1">
        <f>COUNTIF(Tabela1[Team],Tabela2[[#This Row],[Team]])</f>
        <v>0</v>
      </c>
      <c r="E10" s="1">
        <f>Tabela2[[#This Row],[Number Players]]-Tabela2[[#This Row],[Total Players]]</f>
        <v>0</v>
      </c>
      <c r="F10" s="1"/>
    </row>
    <row r="11" spans="1:6" x14ac:dyDescent="0.3">
      <c r="A11" s="1" t="s">
        <v>33</v>
      </c>
      <c r="B11" s="1" t="s">
        <v>181</v>
      </c>
      <c r="C11" s="1" t="s">
        <v>18</v>
      </c>
      <c r="D11" s="1">
        <f>COUNTIF(Tabela1[Team],Tabela2[[#This Row],[Team]])</f>
        <v>0</v>
      </c>
      <c r="E11" s="1">
        <f>Tabela2[[#This Row],[Number Players]]-Tabela2[[#This Row],[Total Players]]</f>
        <v>0</v>
      </c>
      <c r="F11" s="1"/>
    </row>
    <row r="12" spans="1:6" x14ac:dyDescent="0.3">
      <c r="A12" s="1" t="s">
        <v>30</v>
      </c>
      <c r="B12" s="1" t="s">
        <v>181</v>
      </c>
      <c r="C12" s="1" t="s">
        <v>18</v>
      </c>
      <c r="D12" s="1">
        <f>COUNTIF(Tabela1[Team],Tabela2[[#This Row],[Team]])</f>
        <v>0</v>
      </c>
      <c r="E12" s="1">
        <f>Tabela2[[#This Row],[Number Players]]-Tabela2[[#This Row],[Total Players]]</f>
        <v>0</v>
      </c>
      <c r="F12" s="1"/>
    </row>
    <row r="13" spans="1:6" x14ac:dyDescent="0.3">
      <c r="A13" s="1" t="s">
        <v>39</v>
      </c>
      <c r="B13" s="1" t="s">
        <v>174</v>
      </c>
      <c r="C13" s="1" t="s">
        <v>18</v>
      </c>
      <c r="D13" s="1">
        <f>COUNTIF(Tabela1[Team],Tabela2[[#This Row],[Team]])</f>
        <v>0</v>
      </c>
      <c r="E13" s="1">
        <f>Tabela2[[#This Row],[Number Players]]-Tabela2[[#This Row],[Total Players]]</f>
        <v>0</v>
      </c>
      <c r="F13" s="1"/>
    </row>
    <row r="14" spans="1:6" x14ac:dyDescent="0.3">
      <c r="A14" s="1" t="s">
        <v>52</v>
      </c>
      <c r="B14" s="1" t="s">
        <v>153</v>
      </c>
      <c r="C14" s="1" t="s">
        <v>19</v>
      </c>
      <c r="D14" s="1">
        <f>COUNTIF(Tabela1[Team],Tabela2[[#This Row],[Team]])</f>
        <v>0</v>
      </c>
      <c r="E14" s="1">
        <f>Tabela2[[#This Row],[Number Players]]-Tabela2[[#This Row],[Total Players]]</f>
        <v>0</v>
      </c>
      <c r="F14" s="1"/>
    </row>
    <row r="15" spans="1:6" x14ac:dyDescent="0.3">
      <c r="A15" s="1" t="s">
        <v>41</v>
      </c>
      <c r="B15" s="1" t="s">
        <v>150</v>
      </c>
      <c r="C15" s="1" t="s">
        <v>19</v>
      </c>
      <c r="D15" s="1">
        <f>COUNTIF(Tabela1[Team],Tabela2[[#This Row],[Team]])</f>
        <v>0</v>
      </c>
      <c r="E15" s="1">
        <f>Tabela2[[#This Row],[Number Players]]-Tabela2[[#This Row],[Total Players]]</f>
        <v>0</v>
      </c>
      <c r="F15" s="1"/>
    </row>
    <row r="16" spans="1:6" x14ac:dyDescent="0.3">
      <c r="A16" s="1" t="s">
        <v>42</v>
      </c>
      <c r="B16" s="1" t="s">
        <v>160</v>
      </c>
      <c r="C16" s="1" t="s">
        <v>19</v>
      </c>
      <c r="D16" s="1">
        <f>COUNTIF(Tabela1[Team],Tabela2[[#This Row],[Team]])</f>
        <v>0</v>
      </c>
      <c r="E16" s="1">
        <f>Tabela2[[#This Row],[Number Players]]-Tabela2[[#This Row],[Total Players]]</f>
        <v>0</v>
      </c>
      <c r="F16" s="1"/>
    </row>
    <row r="17" spans="1:6" x14ac:dyDescent="0.3">
      <c r="A17" s="1" t="s">
        <v>45</v>
      </c>
      <c r="B17" s="1" t="s">
        <v>161</v>
      </c>
      <c r="C17" s="1" t="s">
        <v>19</v>
      </c>
      <c r="D17" s="1">
        <f>COUNTIF(Tabela1[Team],Tabela2[[#This Row],[Team]])</f>
        <v>0</v>
      </c>
      <c r="E17" s="1">
        <f>Tabela2[[#This Row],[Number Players]]-Tabela2[[#This Row],[Total Players]]</f>
        <v>0</v>
      </c>
      <c r="F17" s="1"/>
    </row>
    <row r="18" spans="1:6" x14ac:dyDescent="0.3">
      <c r="A18" s="1" t="s">
        <v>46</v>
      </c>
      <c r="B18" s="1" t="s">
        <v>161</v>
      </c>
      <c r="C18" s="1" t="s">
        <v>19</v>
      </c>
      <c r="D18" s="1">
        <f>COUNTIF(Tabela1[Team],Tabela2[[#This Row],[Team]])</f>
        <v>0</v>
      </c>
      <c r="E18" s="1">
        <f>Tabela2[[#This Row],[Number Players]]-Tabela2[[#This Row],[Total Players]]</f>
        <v>0</v>
      </c>
      <c r="F18" s="1"/>
    </row>
    <row r="19" spans="1:6" x14ac:dyDescent="0.3">
      <c r="A19" s="1" t="s">
        <v>44</v>
      </c>
      <c r="B19" s="1" t="s">
        <v>176</v>
      </c>
      <c r="C19" s="1" t="s">
        <v>19</v>
      </c>
      <c r="D19" s="1">
        <f>COUNTIF(Tabela1[Team],Tabela2[[#This Row],[Team]])</f>
        <v>0</v>
      </c>
      <c r="E19" s="1">
        <f>Tabela2[[#This Row],[Number Players]]-Tabela2[[#This Row],[Total Players]]</f>
        <v>0</v>
      </c>
      <c r="F19" s="1"/>
    </row>
    <row r="20" spans="1:6" x14ac:dyDescent="0.3">
      <c r="A20" s="1" t="s">
        <v>43</v>
      </c>
      <c r="B20" s="1" t="s">
        <v>177</v>
      </c>
      <c r="C20" s="1" t="s">
        <v>19</v>
      </c>
      <c r="D20" s="1">
        <f>COUNTIF(Tabela1[Team],Tabela2[[#This Row],[Team]])</f>
        <v>0</v>
      </c>
      <c r="E20" s="1">
        <f>Tabela2[[#This Row],[Number Players]]-Tabela2[[#This Row],[Total Players]]</f>
        <v>0</v>
      </c>
      <c r="F20" s="1"/>
    </row>
    <row r="21" spans="1:6" x14ac:dyDescent="0.3">
      <c r="A21" s="1" t="s">
        <v>47</v>
      </c>
      <c r="B21" s="1" t="s">
        <v>179</v>
      </c>
      <c r="C21" s="1" t="s">
        <v>19</v>
      </c>
      <c r="D21" s="1">
        <f>COUNTIF(Tabela1[Team],Tabela2[[#This Row],[Team]])</f>
        <v>0</v>
      </c>
      <c r="E21" s="1">
        <f>Tabela2[[#This Row],[Number Players]]-Tabela2[[#This Row],[Total Players]]</f>
        <v>0</v>
      </c>
      <c r="F21" s="1"/>
    </row>
    <row r="22" spans="1:6" x14ac:dyDescent="0.3">
      <c r="A22" s="1" t="s">
        <v>51</v>
      </c>
      <c r="B22" s="1" t="s">
        <v>179</v>
      </c>
      <c r="C22" s="1" t="s">
        <v>19</v>
      </c>
      <c r="D22" s="1">
        <f>COUNTIF(Tabela1[Team],Tabela2[[#This Row],[Team]])</f>
        <v>0</v>
      </c>
      <c r="E22" s="1">
        <f>Tabela2[[#This Row],[Number Players]]-Tabela2[[#This Row],[Total Players]]</f>
        <v>0</v>
      </c>
      <c r="F22" s="1"/>
    </row>
    <row r="23" spans="1:6" x14ac:dyDescent="0.3">
      <c r="A23" s="1" t="s">
        <v>49</v>
      </c>
      <c r="B23" s="1" t="s">
        <v>153</v>
      </c>
      <c r="C23" s="1" t="s">
        <v>19</v>
      </c>
      <c r="D23" s="1">
        <f>COUNTIF(Tabela1[Team],Tabela2[[#This Row],[Team]])</f>
        <v>0</v>
      </c>
      <c r="E23" s="1">
        <f>Tabela2[[#This Row],[Number Players]]-Tabela2[[#This Row],[Total Players]]</f>
        <v>0</v>
      </c>
      <c r="F23" s="1"/>
    </row>
    <row r="24" spans="1:6" x14ac:dyDescent="0.3">
      <c r="A24" s="1" t="s">
        <v>48</v>
      </c>
      <c r="B24" s="1" t="s">
        <v>153</v>
      </c>
      <c r="C24" s="1" t="s">
        <v>19</v>
      </c>
      <c r="D24" s="1">
        <f>COUNTIF(Tabela1[Team],Tabela2[[#This Row],[Team]])</f>
        <v>0</v>
      </c>
      <c r="E24" s="1">
        <f>Tabela2[[#This Row],[Number Players]]-Tabela2[[#This Row],[Total Players]]</f>
        <v>0</v>
      </c>
      <c r="F24" s="1"/>
    </row>
    <row r="25" spans="1:6" x14ac:dyDescent="0.3">
      <c r="A25" s="1" t="s">
        <v>50</v>
      </c>
      <c r="B25" s="1" t="s">
        <v>153</v>
      </c>
      <c r="C25" s="1" t="s">
        <v>19</v>
      </c>
      <c r="D25" s="1">
        <f>COUNTIF(Tabela1[Team],Tabela2[[#This Row],[Team]])</f>
        <v>0</v>
      </c>
      <c r="E25" s="1">
        <f>Tabela2[[#This Row],[Number Players]]-Tabela2[[#This Row],[Total Players]]</f>
        <v>0</v>
      </c>
      <c r="F25" s="1"/>
    </row>
    <row r="26" spans="1:6" x14ac:dyDescent="0.3">
      <c r="A26" s="1" t="s">
        <v>74</v>
      </c>
      <c r="B26" s="1" t="s">
        <v>167</v>
      </c>
      <c r="C26" s="1" t="s">
        <v>20</v>
      </c>
      <c r="D26" s="1">
        <f>COUNTIF(Tabela1[Team],Tabela2[[#This Row],[Team]])</f>
        <v>0</v>
      </c>
      <c r="E26" s="1">
        <f>Tabela2[[#This Row],[Number Players]]-Tabela2[[#This Row],[Total Players]]</f>
        <v>0</v>
      </c>
      <c r="F26" s="1"/>
    </row>
    <row r="27" spans="1:6" x14ac:dyDescent="0.3">
      <c r="A27" s="1" t="s">
        <v>57</v>
      </c>
      <c r="B27" s="1" t="s">
        <v>151</v>
      </c>
      <c r="C27" s="1" t="s">
        <v>20</v>
      </c>
      <c r="D27" s="1">
        <f>COUNTIF(Tabela1[Team],Tabela2[[#This Row],[Team]])</f>
        <v>0</v>
      </c>
      <c r="E27" s="1">
        <f>Tabela2[[#This Row],[Number Players]]-Tabela2[[#This Row],[Total Players]]</f>
        <v>0</v>
      </c>
      <c r="F27" s="1"/>
    </row>
    <row r="28" spans="1:6" x14ac:dyDescent="0.3">
      <c r="A28" s="1" t="s">
        <v>71</v>
      </c>
      <c r="B28" s="1" t="s">
        <v>162</v>
      </c>
      <c r="C28" s="1" t="s">
        <v>20</v>
      </c>
      <c r="D28" s="1">
        <f>COUNTIF(Tabela1[Team],Tabela2[[#This Row],[Team]])</f>
        <v>0</v>
      </c>
      <c r="E28" s="1">
        <f>Tabela2[[#This Row],[Number Players]]-Tabela2[[#This Row],[Total Players]]</f>
        <v>0</v>
      </c>
      <c r="F28" s="1"/>
    </row>
    <row r="29" spans="1:6" x14ac:dyDescent="0.3">
      <c r="A29" s="1" t="s">
        <v>54</v>
      </c>
      <c r="B29" s="1" t="s">
        <v>166</v>
      </c>
      <c r="C29" s="1" t="s">
        <v>20</v>
      </c>
      <c r="D29" s="1">
        <f>COUNTIF(Tabela1[Team],Tabela2[[#This Row],[Team]])</f>
        <v>0</v>
      </c>
      <c r="E29" s="1">
        <f>Tabela2[[#This Row],[Number Players]]-Tabela2[[#This Row],[Total Players]]</f>
        <v>0</v>
      </c>
      <c r="F29" s="1"/>
    </row>
    <row r="30" spans="1:6" x14ac:dyDescent="0.3">
      <c r="A30" s="1" t="s">
        <v>58</v>
      </c>
      <c r="B30" s="1" t="s">
        <v>189</v>
      </c>
      <c r="C30" s="1" t="s">
        <v>20</v>
      </c>
      <c r="D30" s="1">
        <f>COUNTIF(Tabela1[Team],Tabela2[[#This Row],[Team]])</f>
        <v>0</v>
      </c>
      <c r="E30" s="1">
        <f>Tabela2[[#This Row],[Number Players]]-Tabela2[[#This Row],[Total Players]]</f>
        <v>0</v>
      </c>
      <c r="F30" s="1"/>
    </row>
    <row r="31" spans="1:6" x14ac:dyDescent="0.3">
      <c r="A31" s="1" t="s">
        <v>78</v>
      </c>
      <c r="B31" s="1" t="s">
        <v>152</v>
      </c>
      <c r="C31" s="1" t="s">
        <v>20</v>
      </c>
      <c r="D31" s="1">
        <f>COUNTIF(Tabela1[Team],Tabela2[[#This Row],[Team]])</f>
        <v>0</v>
      </c>
      <c r="E31" s="1">
        <f>Tabela2[[#This Row],[Number Players]]-Tabela2[[#This Row],[Total Players]]</f>
        <v>0</v>
      </c>
      <c r="F31" s="1"/>
    </row>
    <row r="32" spans="1:6" x14ac:dyDescent="0.3">
      <c r="A32" s="1" t="s">
        <v>56</v>
      </c>
      <c r="B32" s="1" t="s">
        <v>165</v>
      </c>
      <c r="C32" s="1" t="s">
        <v>20</v>
      </c>
      <c r="D32" s="1">
        <f>COUNTIF(Tabela1[Team],Tabela2[[#This Row],[Team]])</f>
        <v>0</v>
      </c>
      <c r="E32" s="1">
        <f>Tabela2[[#This Row],[Number Players]]-Tabela2[[#This Row],[Total Players]]</f>
        <v>0</v>
      </c>
      <c r="F32" s="1"/>
    </row>
    <row r="33" spans="1:6" x14ac:dyDescent="0.3">
      <c r="A33" s="1" t="s">
        <v>55</v>
      </c>
      <c r="B33" s="1" t="s">
        <v>185</v>
      </c>
      <c r="C33" s="1" t="s">
        <v>20</v>
      </c>
      <c r="D33" s="1">
        <f>COUNTIF(Tabela1[Team],Tabela2[[#This Row],[Team]])</f>
        <v>0</v>
      </c>
      <c r="E33" s="1">
        <f>Tabela2[[#This Row],[Number Players]]-Tabela2[[#This Row],[Total Players]]</f>
        <v>0</v>
      </c>
      <c r="F33" s="1"/>
    </row>
    <row r="34" spans="1:6" x14ac:dyDescent="0.3">
      <c r="A34" s="1" t="s">
        <v>69</v>
      </c>
      <c r="B34" s="1" t="s">
        <v>154</v>
      </c>
      <c r="C34" s="1" t="s">
        <v>21</v>
      </c>
      <c r="D34" s="1">
        <f>COUNTIF(Tabela1[Team],Tabela2[[#This Row],[Team]])</f>
        <v>0</v>
      </c>
      <c r="E34" s="1">
        <f>Tabela2[[#This Row],[Number Players]]-Tabela2[[#This Row],[Total Players]]</f>
        <v>0</v>
      </c>
      <c r="F34" s="1"/>
    </row>
    <row r="35" spans="1:6" x14ac:dyDescent="0.3">
      <c r="A35" s="1" t="s">
        <v>70</v>
      </c>
      <c r="B35" s="1" t="s">
        <v>159</v>
      </c>
      <c r="C35" s="1" t="s">
        <v>21</v>
      </c>
      <c r="D35" s="1">
        <f>COUNTIF(Tabela1[Team],Tabela2[[#This Row],[Team]])</f>
        <v>0</v>
      </c>
      <c r="E35" s="1">
        <f>Tabela2[[#This Row],[Number Players]]-Tabela2[[#This Row],[Total Players]]</f>
        <v>0</v>
      </c>
      <c r="F35" s="1"/>
    </row>
    <row r="36" spans="1:6" x14ac:dyDescent="0.3">
      <c r="A36" s="1" t="s">
        <v>61</v>
      </c>
      <c r="B36" s="1" t="s">
        <v>160</v>
      </c>
      <c r="C36" s="1" t="s">
        <v>21</v>
      </c>
      <c r="D36" s="1">
        <f>COUNTIF(Tabela1[Team],Tabela2[[#This Row],[Team]])</f>
        <v>0</v>
      </c>
      <c r="E36" s="1">
        <f>Tabela2[[#This Row],[Number Players]]-Tabela2[[#This Row],[Total Players]]</f>
        <v>0</v>
      </c>
      <c r="F36" s="1"/>
    </row>
    <row r="37" spans="1:6" x14ac:dyDescent="0.3">
      <c r="A37" s="1" t="s">
        <v>66</v>
      </c>
      <c r="B37" s="1" t="s">
        <v>172</v>
      </c>
      <c r="C37" s="1" t="s">
        <v>21</v>
      </c>
      <c r="D37" s="1">
        <f>COUNTIF(Tabela1[Team],Tabela2[[#This Row],[Team]])</f>
        <v>0</v>
      </c>
      <c r="E37" s="1">
        <f>Tabela2[[#This Row],[Number Players]]-Tabela2[[#This Row],[Total Players]]</f>
        <v>0</v>
      </c>
      <c r="F37" s="1"/>
    </row>
    <row r="38" spans="1:6" x14ac:dyDescent="0.3">
      <c r="A38" s="1" t="s">
        <v>60</v>
      </c>
      <c r="B38" s="1" t="s">
        <v>172</v>
      </c>
      <c r="C38" s="1" t="s">
        <v>21</v>
      </c>
      <c r="D38" s="1">
        <f>COUNTIF(Tabela1[Team],Tabela2[[#This Row],[Team]])</f>
        <v>0</v>
      </c>
      <c r="E38" s="1">
        <f>Tabela2[[#This Row],[Number Players]]-Tabela2[[#This Row],[Total Players]]</f>
        <v>0</v>
      </c>
      <c r="F38" s="1"/>
    </row>
    <row r="39" spans="1:6" x14ac:dyDescent="0.3">
      <c r="A39" s="1" t="s">
        <v>67</v>
      </c>
      <c r="B39" s="1" t="s">
        <v>186</v>
      </c>
      <c r="C39" s="1" t="s">
        <v>21</v>
      </c>
      <c r="D39" s="1">
        <f>COUNTIF(Tabela1[Team],Tabela2[[#This Row],[Team]])</f>
        <v>0</v>
      </c>
      <c r="E39" s="1">
        <f>Tabela2[[#This Row],[Number Players]]-Tabela2[[#This Row],[Total Players]]</f>
        <v>0</v>
      </c>
      <c r="F39" s="1"/>
    </row>
    <row r="40" spans="1:6" x14ac:dyDescent="0.3">
      <c r="A40" s="1" t="s">
        <v>63</v>
      </c>
      <c r="B40" s="1" t="s">
        <v>154</v>
      </c>
      <c r="C40" s="1" t="s">
        <v>21</v>
      </c>
      <c r="D40" s="1">
        <f>COUNTIF(Tabela1[Team],Tabela2[[#This Row],[Team]])</f>
        <v>0</v>
      </c>
      <c r="E40" s="1">
        <f>Tabela2[[#This Row],[Number Players]]-Tabela2[[#This Row],[Total Players]]</f>
        <v>0</v>
      </c>
      <c r="F40" s="1"/>
    </row>
    <row r="41" spans="1:6" x14ac:dyDescent="0.3">
      <c r="A41" s="1" t="s">
        <v>64</v>
      </c>
      <c r="B41" s="1" t="s">
        <v>167</v>
      </c>
      <c r="C41" s="1" t="s">
        <v>21</v>
      </c>
      <c r="D41" s="1">
        <f>COUNTIF(Tabela1[Team],Tabela2[[#This Row],[Team]])</f>
        <v>0</v>
      </c>
      <c r="E41" s="1">
        <f>Tabela2[[#This Row],[Number Players]]-Tabela2[[#This Row],[Total Players]]</f>
        <v>0</v>
      </c>
      <c r="F41" s="1"/>
    </row>
    <row r="42" spans="1:6" x14ac:dyDescent="0.3">
      <c r="A42" s="1" t="s">
        <v>68</v>
      </c>
      <c r="B42" s="1" t="s">
        <v>166</v>
      </c>
      <c r="C42" s="1" t="s">
        <v>21</v>
      </c>
      <c r="D42" s="1">
        <f>COUNTIF(Tabela1[Team],Tabela2[[#This Row],[Team]])</f>
        <v>0</v>
      </c>
      <c r="E42" s="1">
        <f>Tabela2[[#This Row],[Number Players]]-Tabela2[[#This Row],[Total Players]]</f>
        <v>0</v>
      </c>
      <c r="F42" s="1"/>
    </row>
    <row r="43" spans="1:6" x14ac:dyDescent="0.3">
      <c r="A43" s="1" t="s">
        <v>65</v>
      </c>
      <c r="B43" s="1" t="s">
        <v>159</v>
      </c>
      <c r="C43" s="1" t="s">
        <v>21</v>
      </c>
      <c r="D43" s="1">
        <f>COUNTIF(Tabela1[Team],Tabela2[[#This Row],[Team]])</f>
        <v>0</v>
      </c>
      <c r="E43" s="1">
        <f>Tabela2[[#This Row],[Number Players]]-Tabela2[[#This Row],[Total Players]]</f>
        <v>0</v>
      </c>
      <c r="F43" s="1"/>
    </row>
    <row r="44" spans="1:6" x14ac:dyDescent="0.3">
      <c r="A44" s="1" t="s">
        <v>62</v>
      </c>
      <c r="B44" s="1" t="s">
        <v>183</v>
      </c>
      <c r="C44" s="1" t="s">
        <v>21</v>
      </c>
      <c r="D44" s="1">
        <f>COUNTIF(Tabela1[Team],Tabela2[[#This Row],[Team]])</f>
        <v>0</v>
      </c>
      <c r="E44" s="1">
        <f>Tabela2[[#This Row],[Number Players]]-Tabela2[[#This Row],[Total Players]]</f>
        <v>0</v>
      </c>
      <c r="F44" s="1"/>
    </row>
    <row r="45" spans="1:6" x14ac:dyDescent="0.3">
      <c r="A45" s="1" t="s">
        <v>80</v>
      </c>
      <c r="B45" s="1" t="s">
        <v>174</v>
      </c>
      <c r="C45" s="1" t="s">
        <v>22</v>
      </c>
      <c r="D45" s="1">
        <f>COUNTIF(Tabela1[Team],Tabela2[[#This Row],[Team]])</f>
        <v>0</v>
      </c>
      <c r="E45" s="1">
        <f>Tabela2[[#This Row],[Number Players]]-Tabela2[[#This Row],[Total Players]]</f>
        <v>0</v>
      </c>
      <c r="F45" s="1"/>
    </row>
    <row r="46" spans="1:6" x14ac:dyDescent="0.3">
      <c r="A46" s="1" t="s">
        <v>79</v>
      </c>
      <c r="B46" s="1" t="s">
        <v>153</v>
      </c>
      <c r="C46" s="1" t="s">
        <v>22</v>
      </c>
      <c r="D46" s="1">
        <f>COUNTIF(Tabela1[Team],Tabela2[[#This Row],[Team]])</f>
        <v>0</v>
      </c>
      <c r="E46" s="1">
        <f>Tabela2[[#This Row],[Number Players]]-Tabela2[[#This Row],[Total Players]]</f>
        <v>0</v>
      </c>
      <c r="F46" s="1"/>
    </row>
    <row r="47" spans="1:6" x14ac:dyDescent="0.3">
      <c r="A47" s="1" t="s">
        <v>84</v>
      </c>
      <c r="B47" s="1" t="s">
        <v>185</v>
      </c>
      <c r="C47" s="1" t="s">
        <v>22</v>
      </c>
      <c r="D47" s="1">
        <f>COUNTIF(Tabela1[Team],Tabela2[[#This Row],[Team]])</f>
        <v>0</v>
      </c>
      <c r="E47" s="1">
        <f>Tabela2[[#This Row],[Number Players]]-Tabela2[[#This Row],[Total Players]]</f>
        <v>0</v>
      </c>
      <c r="F47" s="1"/>
    </row>
    <row r="48" spans="1:6" x14ac:dyDescent="0.3">
      <c r="A48" s="1" t="s">
        <v>72</v>
      </c>
      <c r="B48" s="1" t="s">
        <v>164</v>
      </c>
      <c r="C48" s="1" t="s">
        <v>22</v>
      </c>
      <c r="D48" s="1">
        <f>COUNTIF(Tabela1[Team],Tabela2[[#This Row],[Team]])</f>
        <v>0</v>
      </c>
      <c r="E48" s="1">
        <f>Tabela2[[#This Row],[Number Players]]-Tabela2[[#This Row],[Total Players]]</f>
        <v>0</v>
      </c>
      <c r="F48" s="1"/>
    </row>
    <row r="49" spans="1:6" x14ac:dyDescent="0.3">
      <c r="A49" s="1" t="s">
        <v>142</v>
      </c>
      <c r="B49" s="1" t="s">
        <v>153</v>
      </c>
      <c r="C49" s="1" t="s">
        <v>22</v>
      </c>
      <c r="D49" s="1">
        <f>COUNTIF(Tabela1[Team],Tabela2[[#This Row],[Team]])</f>
        <v>0</v>
      </c>
      <c r="E49" s="1">
        <f>Tabela2[[#This Row],[Number Players]]-Tabela2[[#This Row],[Total Players]]</f>
        <v>0</v>
      </c>
      <c r="F49" s="1"/>
    </row>
    <row r="50" spans="1:6" x14ac:dyDescent="0.3">
      <c r="A50" s="1" t="s">
        <v>141</v>
      </c>
      <c r="B50" s="1" t="s">
        <v>153</v>
      </c>
      <c r="C50" s="1" t="s">
        <v>22</v>
      </c>
      <c r="D50" s="1">
        <f>COUNTIF(Tabela1[Team],Tabela2[[#This Row],[Team]])</f>
        <v>0</v>
      </c>
      <c r="E50" s="1">
        <f>Tabela2[[#This Row],[Number Players]]-Tabela2[[#This Row],[Total Players]]</f>
        <v>0</v>
      </c>
      <c r="F50" s="1"/>
    </row>
    <row r="51" spans="1:6" x14ac:dyDescent="0.3">
      <c r="A51" s="1" t="s">
        <v>73</v>
      </c>
      <c r="B51" s="1" t="s">
        <v>187</v>
      </c>
      <c r="C51" s="1" t="s">
        <v>22</v>
      </c>
      <c r="D51" s="1">
        <f>COUNTIF(Tabela1[Team],Tabela2[[#This Row],[Team]])</f>
        <v>0</v>
      </c>
      <c r="E51" s="1">
        <f>Tabela2[[#This Row],[Number Players]]-Tabela2[[#This Row],[Total Players]]</f>
        <v>0</v>
      </c>
      <c r="F51" s="1"/>
    </row>
    <row r="52" spans="1:6" x14ac:dyDescent="0.3">
      <c r="A52" s="1" t="s">
        <v>77</v>
      </c>
      <c r="B52" s="1" t="s">
        <v>163</v>
      </c>
      <c r="C52" s="1" t="s">
        <v>22</v>
      </c>
      <c r="D52" s="1">
        <f>COUNTIF(Tabela1[Team],Tabela2[[#This Row],[Team]])</f>
        <v>0</v>
      </c>
      <c r="E52" s="1">
        <f>Tabela2[[#This Row],[Number Players]]-Tabela2[[#This Row],[Total Players]]</f>
        <v>0</v>
      </c>
      <c r="F52" s="1"/>
    </row>
    <row r="53" spans="1:6" x14ac:dyDescent="0.3">
      <c r="A53" s="1" t="s">
        <v>140</v>
      </c>
      <c r="B53" s="1" t="s">
        <v>179</v>
      </c>
      <c r="C53" s="1" t="s">
        <v>22</v>
      </c>
      <c r="D53" s="1">
        <f>COUNTIF(Tabela1[Team],Tabela2[[#This Row],[Team]])</f>
        <v>0</v>
      </c>
      <c r="E53" s="1">
        <f>Tabela2[[#This Row],[Number Players]]-Tabela2[[#This Row],[Total Players]]</f>
        <v>0</v>
      </c>
      <c r="F53" s="1"/>
    </row>
    <row r="54" spans="1:6" x14ac:dyDescent="0.3">
      <c r="A54" s="1" t="s">
        <v>75</v>
      </c>
      <c r="B54" s="1" t="s">
        <v>168</v>
      </c>
      <c r="C54" s="1" t="s">
        <v>22</v>
      </c>
      <c r="D54" s="1">
        <f>COUNTIF(Tabela1[Team],Tabela2[[#This Row],[Team]])</f>
        <v>0</v>
      </c>
      <c r="E54" s="1">
        <f>Tabela2[[#This Row],[Number Players]]-Tabela2[[#This Row],[Total Players]]</f>
        <v>0</v>
      </c>
      <c r="F54" s="1"/>
    </row>
    <row r="55" spans="1:6" x14ac:dyDescent="0.3">
      <c r="A55" s="1" t="s">
        <v>88</v>
      </c>
      <c r="B55" s="1" t="s">
        <v>152</v>
      </c>
      <c r="C55" s="1" t="s">
        <v>22</v>
      </c>
      <c r="D55" s="1">
        <f>COUNTIF(Tabela1[Team],Tabela2[[#This Row],[Team]])</f>
        <v>0</v>
      </c>
      <c r="E55" s="1">
        <f>Tabela2[[#This Row],[Number Players]]-Tabela2[[#This Row],[Total Players]]</f>
        <v>0</v>
      </c>
      <c r="F55" s="1"/>
    </row>
    <row r="56" spans="1:6" x14ac:dyDescent="0.3">
      <c r="A56" s="1" t="s">
        <v>136</v>
      </c>
      <c r="B56" s="1" t="s">
        <v>153</v>
      </c>
      <c r="C56" s="1" t="s">
        <v>22</v>
      </c>
      <c r="D56" s="1">
        <f>COUNTIF(Tabela1[Team],Tabela2[[#This Row],[Team]])</f>
        <v>0</v>
      </c>
      <c r="E56" s="1">
        <f>Tabela2[[#This Row],[Number Players]]-Tabela2[[#This Row],[Total Players]]</f>
        <v>0</v>
      </c>
      <c r="F56" s="1"/>
    </row>
    <row r="57" spans="1:6" x14ac:dyDescent="0.3">
      <c r="A57" s="1" t="s">
        <v>81</v>
      </c>
      <c r="B57" s="1" t="s">
        <v>165</v>
      </c>
      <c r="C57" s="1" t="s">
        <v>29</v>
      </c>
      <c r="D57" s="1">
        <f>COUNTIF(Tabela1[Team],Tabela2[[#This Row],[Team]])</f>
        <v>0</v>
      </c>
      <c r="E57" s="1">
        <f>Tabela2[[#This Row],[Number Players]]-Tabela2[[#This Row],[Total Players]]</f>
        <v>0</v>
      </c>
      <c r="F57" s="1"/>
    </row>
    <row r="58" spans="1:6" x14ac:dyDescent="0.3">
      <c r="A58" s="1" t="s">
        <v>146</v>
      </c>
      <c r="B58" s="1" t="s">
        <v>175</v>
      </c>
      <c r="C58" s="1" t="s">
        <v>29</v>
      </c>
      <c r="D58" s="1">
        <f>COUNTIF(Tabela1[Team],Tabela2[[#This Row],[Team]])</f>
        <v>0</v>
      </c>
      <c r="E58" s="1">
        <f>Tabela2[[#This Row],[Number Players]]-Tabela2[[#This Row],[Total Players]]</f>
        <v>0</v>
      </c>
      <c r="F58" s="1"/>
    </row>
    <row r="59" spans="1:6" x14ac:dyDescent="0.3">
      <c r="A59" s="1" t="s">
        <v>145</v>
      </c>
      <c r="B59" s="1" t="s">
        <v>159</v>
      </c>
      <c r="C59" s="1" t="s">
        <v>29</v>
      </c>
      <c r="D59" s="1">
        <f>COUNTIF(Tabela1[Team],Tabela2[[#This Row],[Team]])</f>
        <v>0</v>
      </c>
      <c r="E59" s="1">
        <f>Tabela2[[#This Row],[Number Players]]-Tabela2[[#This Row],[Total Players]]</f>
        <v>0</v>
      </c>
      <c r="F59" s="1"/>
    </row>
    <row r="60" spans="1:6" x14ac:dyDescent="0.3">
      <c r="A60" s="1" t="s">
        <v>83</v>
      </c>
      <c r="B60" s="1" t="s">
        <v>167</v>
      </c>
      <c r="C60" s="1" t="s">
        <v>23</v>
      </c>
      <c r="D60" s="1">
        <f>COUNTIF(Tabela1[Team],Tabela2[[#This Row],[Team]])</f>
        <v>0</v>
      </c>
      <c r="E60" s="1">
        <f>Tabela2[[#This Row],[Number Players]]-Tabela2[[#This Row],[Total Players]]</f>
        <v>0</v>
      </c>
      <c r="F60" s="1"/>
    </row>
    <row r="61" spans="1:6" x14ac:dyDescent="0.3">
      <c r="A61" s="1" t="s">
        <v>94</v>
      </c>
      <c r="B61" s="1" t="s">
        <v>159</v>
      </c>
      <c r="C61" s="1" t="s">
        <v>23</v>
      </c>
      <c r="D61" s="1">
        <f>COUNTIF(Tabela1[Team],Tabela2[[#This Row],[Team]])</f>
        <v>0</v>
      </c>
      <c r="E61" s="1">
        <f>Tabela2[[#This Row],[Number Players]]-Tabela2[[#This Row],[Total Players]]</f>
        <v>0</v>
      </c>
      <c r="F61" s="1"/>
    </row>
    <row r="62" spans="1:6" x14ac:dyDescent="0.3">
      <c r="A62" s="1" t="s">
        <v>91</v>
      </c>
      <c r="B62" s="1" t="s">
        <v>167</v>
      </c>
      <c r="C62" s="1" t="s">
        <v>23</v>
      </c>
      <c r="D62" s="1">
        <f>COUNTIF(Tabela1[Team],Tabela2[[#This Row],[Team]])</f>
        <v>0</v>
      </c>
      <c r="E62" s="1">
        <f>Tabela2[[#This Row],[Number Players]]-Tabela2[[#This Row],[Total Players]]</f>
        <v>0</v>
      </c>
      <c r="F62" s="1"/>
    </row>
    <row r="63" spans="1:6" x14ac:dyDescent="0.3">
      <c r="A63" s="1" t="s">
        <v>87</v>
      </c>
      <c r="B63" s="1" t="s">
        <v>165</v>
      </c>
      <c r="C63" s="1" t="s">
        <v>23</v>
      </c>
      <c r="D63" s="1">
        <f>COUNTIF(Tabela1[Team],Tabela2[[#This Row],[Team]])</f>
        <v>0</v>
      </c>
      <c r="E63" s="1">
        <f>Tabela2[[#This Row],[Number Players]]-Tabela2[[#This Row],[Total Players]]</f>
        <v>0</v>
      </c>
      <c r="F63" s="1"/>
    </row>
    <row r="64" spans="1:6" x14ac:dyDescent="0.3">
      <c r="A64" s="1" t="s">
        <v>93</v>
      </c>
      <c r="B64" s="1" t="s">
        <v>172</v>
      </c>
      <c r="C64" s="1" t="s">
        <v>23</v>
      </c>
      <c r="D64" s="1">
        <f>COUNTIF(Tabela1[Team],Tabela2[[#This Row],[Team]])</f>
        <v>0</v>
      </c>
      <c r="E64" s="1">
        <f>Tabela2[[#This Row],[Number Players]]-Tabela2[[#This Row],[Total Players]]</f>
        <v>0</v>
      </c>
      <c r="F64" s="1"/>
    </row>
    <row r="65" spans="1:6" x14ac:dyDescent="0.3">
      <c r="A65" s="1" t="s">
        <v>92</v>
      </c>
      <c r="B65" s="1" t="s">
        <v>172</v>
      </c>
      <c r="C65" s="1" t="s">
        <v>23</v>
      </c>
      <c r="D65" s="1">
        <f>COUNTIF(Tabela1[Team],Tabela2[[#This Row],[Team]])</f>
        <v>0</v>
      </c>
      <c r="E65" s="1">
        <f>Tabela2[[#This Row],[Number Players]]-Tabela2[[#This Row],[Total Players]]</f>
        <v>0</v>
      </c>
      <c r="F65" s="1"/>
    </row>
    <row r="66" spans="1:6" x14ac:dyDescent="0.3">
      <c r="A66" s="1" t="s">
        <v>85</v>
      </c>
      <c r="B66" s="1" t="s">
        <v>167</v>
      </c>
      <c r="C66" s="1" t="s">
        <v>23</v>
      </c>
      <c r="D66" s="1">
        <f>COUNTIF(Tabela1[Team],Tabela2[[#This Row],[Team]])</f>
        <v>0</v>
      </c>
      <c r="E66" s="1">
        <f>Tabela2[[#This Row],[Number Players]]-Tabela2[[#This Row],[Total Players]]</f>
        <v>0</v>
      </c>
      <c r="F66" s="1"/>
    </row>
    <row r="67" spans="1:6" x14ac:dyDescent="0.3">
      <c r="A67" s="1" t="s">
        <v>82</v>
      </c>
      <c r="B67" s="1" t="s">
        <v>167</v>
      </c>
      <c r="C67" s="1" t="s">
        <v>23</v>
      </c>
      <c r="D67" s="1">
        <f>COUNTIF(Tabela1[Team],Tabela2[[#This Row],[Team]])</f>
        <v>0</v>
      </c>
      <c r="E67" s="1">
        <f>Tabela2[[#This Row],[Number Players]]-Tabela2[[#This Row],[Total Players]]</f>
        <v>0</v>
      </c>
      <c r="F67" s="1"/>
    </row>
    <row r="68" spans="1:6" x14ac:dyDescent="0.3">
      <c r="A68" s="1" t="s">
        <v>90</v>
      </c>
      <c r="B68" s="1" t="s">
        <v>154</v>
      </c>
      <c r="C68" s="1" t="s">
        <v>23</v>
      </c>
      <c r="D68" s="1">
        <f>COUNTIF(Tabela1[Team],Tabela2[[#This Row],[Team]])</f>
        <v>0</v>
      </c>
      <c r="E68" s="1">
        <f>Tabela2[[#This Row],[Number Players]]-Tabela2[[#This Row],[Total Players]]</f>
        <v>0</v>
      </c>
      <c r="F68" s="1"/>
    </row>
    <row r="69" spans="1:6" x14ac:dyDescent="0.3">
      <c r="A69" s="1" t="s">
        <v>86</v>
      </c>
      <c r="B69" s="1" t="s">
        <v>167</v>
      </c>
      <c r="C69" s="1" t="s">
        <v>23</v>
      </c>
      <c r="D69" s="1">
        <f>COUNTIF(Tabela1[Team],Tabela2[[#This Row],[Team]])</f>
        <v>0</v>
      </c>
      <c r="E69" s="1">
        <f>Tabela2[[#This Row],[Number Players]]-Tabela2[[#This Row],[Total Players]]</f>
        <v>0</v>
      </c>
      <c r="F69" s="1"/>
    </row>
    <row r="70" spans="1:6" x14ac:dyDescent="0.3">
      <c r="A70" s="1" t="s">
        <v>59</v>
      </c>
      <c r="B70" s="1" t="s">
        <v>166</v>
      </c>
      <c r="C70" s="1" t="s">
        <v>23</v>
      </c>
      <c r="D70" s="1">
        <f>COUNTIF(Tabela1[Team],Tabela2[[#This Row],[Team]])</f>
        <v>0</v>
      </c>
      <c r="E70" s="1">
        <f>Tabela2[[#This Row],[Number Players]]-Tabela2[[#This Row],[Total Players]]</f>
        <v>0</v>
      </c>
      <c r="F70" s="1"/>
    </row>
    <row r="71" spans="1:6" x14ac:dyDescent="0.3">
      <c r="A71" s="1" t="s">
        <v>89</v>
      </c>
      <c r="B71" s="1" t="s">
        <v>167</v>
      </c>
      <c r="C71" s="1" t="s">
        <v>23</v>
      </c>
      <c r="D71" s="1">
        <f>COUNTIF(Tabela1[Team],Tabela2[[#This Row],[Team]])</f>
        <v>0</v>
      </c>
      <c r="E71" s="1">
        <f>Tabela2[[#This Row],[Number Players]]-Tabela2[[#This Row],[Total Players]]</f>
        <v>0</v>
      </c>
      <c r="F71" s="1"/>
    </row>
    <row r="72" spans="1:6" x14ac:dyDescent="0.3">
      <c r="A72" s="1" t="s">
        <v>95</v>
      </c>
      <c r="B72" s="1" t="s">
        <v>172</v>
      </c>
      <c r="C72" s="1" t="s">
        <v>23</v>
      </c>
      <c r="D72" s="1">
        <f>COUNTIF(Tabela1[Team],Tabela2[[#This Row],[Team]])</f>
        <v>0</v>
      </c>
      <c r="E72" s="1">
        <f>Tabela2[[#This Row],[Number Players]]-Tabela2[[#This Row],[Total Players]]</f>
        <v>0</v>
      </c>
      <c r="F72" s="1"/>
    </row>
    <row r="73" spans="1:6" x14ac:dyDescent="0.3">
      <c r="A73" s="1" t="s">
        <v>100</v>
      </c>
      <c r="B73" s="1" t="s">
        <v>150</v>
      </c>
      <c r="C73" s="1" t="s">
        <v>24</v>
      </c>
      <c r="D73" s="1">
        <f>COUNTIF(Tabela1[Team],Tabela2[[#This Row],[Team]])</f>
        <v>0</v>
      </c>
      <c r="E73" s="1">
        <f>Tabela2[[#This Row],[Number Players]]-Tabela2[[#This Row],[Total Players]]</f>
        <v>0</v>
      </c>
      <c r="F73" s="1"/>
    </row>
    <row r="74" spans="1:6" x14ac:dyDescent="0.3">
      <c r="A74" s="1" t="s">
        <v>98</v>
      </c>
      <c r="B74" s="1" t="s">
        <v>155</v>
      </c>
      <c r="C74" s="1" t="s">
        <v>24</v>
      </c>
      <c r="D74" s="1">
        <f>COUNTIF(Tabela1[Team],Tabela2[[#This Row],[Team]])</f>
        <v>0</v>
      </c>
      <c r="E74" s="1">
        <f>Tabela2[[#This Row],[Number Players]]-Tabela2[[#This Row],[Total Players]]</f>
        <v>0</v>
      </c>
      <c r="F74" s="1"/>
    </row>
    <row r="75" spans="1:6" x14ac:dyDescent="0.3">
      <c r="A75" s="1" t="s">
        <v>101</v>
      </c>
      <c r="B75" s="1" t="s">
        <v>150</v>
      </c>
      <c r="C75" s="1" t="s">
        <v>24</v>
      </c>
      <c r="D75" s="1">
        <f>COUNTIF(Tabela1[Team],Tabela2[[#This Row],[Team]])</f>
        <v>0</v>
      </c>
      <c r="E75" s="1">
        <f>Tabela2[[#This Row],[Number Players]]-Tabela2[[#This Row],[Total Players]]</f>
        <v>0</v>
      </c>
      <c r="F75" s="1"/>
    </row>
    <row r="76" spans="1:6" x14ac:dyDescent="0.3">
      <c r="A76" s="1" t="s">
        <v>97</v>
      </c>
      <c r="B76" s="1" t="s">
        <v>188</v>
      </c>
      <c r="C76" s="1" t="s">
        <v>24</v>
      </c>
      <c r="D76" s="1">
        <f>COUNTIF(Tabela1[Team],Tabela2[[#This Row],[Team]])</f>
        <v>0</v>
      </c>
      <c r="E76" s="1">
        <f>Tabela2[[#This Row],[Number Players]]-Tabela2[[#This Row],[Total Players]]</f>
        <v>0</v>
      </c>
      <c r="F76" s="1"/>
    </row>
    <row r="77" spans="1:6" x14ac:dyDescent="0.3">
      <c r="A77" s="1" t="s">
        <v>102</v>
      </c>
      <c r="B77" s="1" t="s">
        <v>149</v>
      </c>
      <c r="C77" s="1" t="s">
        <v>24</v>
      </c>
      <c r="D77" s="1">
        <f>COUNTIF(Tabela1[Team],Tabela2[[#This Row],[Team]])</f>
        <v>0</v>
      </c>
      <c r="E77" s="1">
        <f>Tabela2[[#This Row],[Number Players]]-Tabela2[[#This Row],[Total Players]]</f>
        <v>0</v>
      </c>
      <c r="F77" s="1"/>
    </row>
    <row r="78" spans="1:6" x14ac:dyDescent="0.3">
      <c r="A78" s="1" t="s">
        <v>76</v>
      </c>
      <c r="B78" s="1" t="s">
        <v>153</v>
      </c>
      <c r="C78" s="1" t="s">
        <v>24</v>
      </c>
      <c r="D78" s="1">
        <f>COUNTIF(Tabela1[Team],Tabela2[[#This Row],[Team]])</f>
        <v>0</v>
      </c>
      <c r="E78" s="1">
        <f>Tabela2[[#This Row],[Number Players]]-Tabela2[[#This Row],[Total Players]]</f>
        <v>0</v>
      </c>
      <c r="F78" s="1"/>
    </row>
    <row r="79" spans="1:6" x14ac:dyDescent="0.3">
      <c r="A79" s="1" t="s">
        <v>103</v>
      </c>
      <c r="B79" s="1" t="s">
        <v>178</v>
      </c>
      <c r="C79" s="1" t="s">
        <v>24</v>
      </c>
      <c r="D79" s="1">
        <f>COUNTIF(Tabela1[Team],Tabela2[[#This Row],[Team]])</f>
        <v>0</v>
      </c>
      <c r="E79" s="1">
        <f>Tabela2[[#This Row],[Number Players]]-Tabela2[[#This Row],[Total Players]]</f>
        <v>0</v>
      </c>
      <c r="F79" s="1"/>
    </row>
    <row r="80" spans="1:6" x14ac:dyDescent="0.3">
      <c r="A80" s="1" t="s">
        <v>96</v>
      </c>
      <c r="B80" s="1" t="s">
        <v>155</v>
      </c>
      <c r="C80" s="1" t="s">
        <v>24</v>
      </c>
      <c r="D80" s="1">
        <f>COUNTIF(Tabela1[Team],Tabela2[[#This Row],[Team]])</f>
        <v>0</v>
      </c>
      <c r="E80" s="1">
        <f>Tabela2[[#This Row],[Number Players]]-Tabela2[[#This Row],[Total Players]]</f>
        <v>0</v>
      </c>
      <c r="F80" s="1"/>
    </row>
    <row r="81" spans="1:6" x14ac:dyDescent="0.3">
      <c r="A81" s="1" t="s">
        <v>99</v>
      </c>
      <c r="B81" s="1" t="s">
        <v>184</v>
      </c>
      <c r="C81" s="1" t="s">
        <v>24</v>
      </c>
      <c r="D81" s="1">
        <f>COUNTIF(Tabela1[Team],Tabela2[[#This Row],[Team]])</f>
        <v>0</v>
      </c>
      <c r="E81" s="1">
        <f>Tabela2[[#This Row],[Number Players]]-Tabela2[[#This Row],[Total Players]]</f>
        <v>0</v>
      </c>
      <c r="F81" s="1"/>
    </row>
    <row r="82" spans="1:6" x14ac:dyDescent="0.3">
      <c r="A82" s="1" t="s">
        <v>106</v>
      </c>
      <c r="B82" s="1" t="s">
        <v>169</v>
      </c>
      <c r="C82" s="1" t="s">
        <v>25</v>
      </c>
      <c r="D82" s="1">
        <f>COUNTIF(Tabela1[Team],Tabela2[[#This Row],[Team]])</f>
        <v>0</v>
      </c>
      <c r="E82" s="1">
        <f>Tabela2[[#This Row],[Number Players]]-Tabela2[[#This Row],[Total Players]]</f>
        <v>0</v>
      </c>
      <c r="F82" s="1"/>
    </row>
    <row r="83" spans="1:6" x14ac:dyDescent="0.3">
      <c r="A83" s="1" t="s">
        <v>112</v>
      </c>
      <c r="B83" s="1" t="s">
        <v>169</v>
      </c>
      <c r="C83" s="1" t="s">
        <v>25</v>
      </c>
      <c r="D83" s="1">
        <f>COUNTIF(Tabela1[Team],Tabela2[[#This Row],[Team]])</f>
        <v>0</v>
      </c>
      <c r="E83" s="1">
        <f>Tabela2[[#This Row],[Number Players]]-Tabela2[[#This Row],[Total Players]]</f>
        <v>0</v>
      </c>
      <c r="F83" s="1"/>
    </row>
    <row r="84" spans="1:6" x14ac:dyDescent="0.3">
      <c r="A84" s="1" t="s">
        <v>105</v>
      </c>
      <c r="B84" s="1" t="s">
        <v>149</v>
      </c>
      <c r="C84" s="1" t="s">
        <v>25</v>
      </c>
      <c r="D84" s="1">
        <f>COUNTIF(Tabela1[Team],Tabela2[[#This Row],[Team]])</f>
        <v>0</v>
      </c>
      <c r="E84" s="1">
        <f>Tabela2[[#This Row],[Number Players]]-Tabela2[[#This Row],[Total Players]]</f>
        <v>0</v>
      </c>
      <c r="F84" s="1"/>
    </row>
    <row r="85" spans="1:6" x14ac:dyDescent="0.3">
      <c r="A85" s="1" t="s">
        <v>109</v>
      </c>
      <c r="B85" s="1" t="s">
        <v>180</v>
      </c>
      <c r="C85" s="1" t="s">
        <v>25</v>
      </c>
      <c r="D85" s="1">
        <f>COUNTIF(Tabela1[Team],Tabela2[[#This Row],[Team]])</f>
        <v>0</v>
      </c>
      <c r="E85" s="1">
        <f>Tabela2[[#This Row],[Number Players]]-Tabela2[[#This Row],[Total Players]]</f>
        <v>0</v>
      </c>
      <c r="F85" s="1"/>
    </row>
    <row r="86" spans="1:6" x14ac:dyDescent="0.3">
      <c r="A86" s="1" t="s">
        <v>107</v>
      </c>
      <c r="B86" s="1" t="s">
        <v>180</v>
      </c>
      <c r="C86" s="1" t="s">
        <v>25</v>
      </c>
      <c r="D86" s="1">
        <f>COUNTIF(Tabela1[Team],Tabela2[[#This Row],[Team]])</f>
        <v>0</v>
      </c>
      <c r="E86" s="1">
        <f>Tabela2[[#This Row],[Number Players]]-Tabela2[[#This Row],[Total Players]]</f>
        <v>0</v>
      </c>
      <c r="F86" s="1"/>
    </row>
    <row r="87" spans="1:6" x14ac:dyDescent="0.3">
      <c r="A87" s="1" t="s">
        <v>111</v>
      </c>
      <c r="B87" s="1" t="s">
        <v>149</v>
      </c>
      <c r="C87" s="1" t="s">
        <v>25</v>
      </c>
      <c r="D87" s="1">
        <f>COUNTIF(Tabela1[Team],Tabela2[[#This Row],[Team]])</f>
        <v>0</v>
      </c>
      <c r="E87" s="1">
        <f>Tabela2[[#This Row],[Number Players]]-Tabela2[[#This Row],[Total Players]]</f>
        <v>0</v>
      </c>
      <c r="F87" s="1"/>
    </row>
    <row r="88" spans="1:6" x14ac:dyDescent="0.3">
      <c r="A88" s="1" t="s">
        <v>108</v>
      </c>
      <c r="B88" s="1" t="s">
        <v>149</v>
      </c>
      <c r="C88" s="1" t="s">
        <v>25</v>
      </c>
      <c r="D88" s="1">
        <f>COUNTIF(Tabela1[Team],Tabela2[[#This Row],[Team]])</f>
        <v>0</v>
      </c>
      <c r="E88" s="1">
        <f>Tabela2[[#This Row],[Number Players]]-Tabela2[[#This Row],[Total Players]]</f>
        <v>0</v>
      </c>
      <c r="F88" s="1"/>
    </row>
    <row r="89" spans="1:6" x14ac:dyDescent="0.3">
      <c r="A89" s="1" t="s">
        <v>104</v>
      </c>
      <c r="B89" s="1" t="s">
        <v>149</v>
      </c>
      <c r="C89" s="1" t="s">
        <v>25</v>
      </c>
      <c r="D89" s="1">
        <f>COUNTIF(Tabela1[Team],Tabela2[[#This Row],[Team]])</f>
        <v>0</v>
      </c>
      <c r="E89" s="1">
        <f>Tabela2[[#This Row],[Number Players]]-Tabela2[[#This Row],[Total Players]]</f>
        <v>0</v>
      </c>
      <c r="F89" s="1"/>
    </row>
    <row r="90" spans="1:6" x14ac:dyDescent="0.3">
      <c r="A90" s="1" t="s">
        <v>113</v>
      </c>
      <c r="B90" s="1" t="s">
        <v>182</v>
      </c>
      <c r="C90" s="1" t="s">
        <v>25</v>
      </c>
      <c r="D90" s="1">
        <f>COUNTIF(Tabela1[Team],Tabela2[[#This Row],[Team]])</f>
        <v>0</v>
      </c>
      <c r="E90" s="1">
        <f>Tabela2[[#This Row],[Number Players]]-Tabela2[[#This Row],[Total Players]]</f>
        <v>0</v>
      </c>
      <c r="F90" s="1"/>
    </row>
    <row r="91" spans="1:6" x14ac:dyDescent="0.3">
      <c r="A91" s="1" t="s">
        <v>110</v>
      </c>
      <c r="B91" s="1" t="s">
        <v>182</v>
      </c>
      <c r="C91" s="1" t="s">
        <v>25</v>
      </c>
      <c r="D91" s="1">
        <f>COUNTIF(Tabela1[Team],Tabela2[[#This Row],[Team]])</f>
        <v>0</v>
      </c>
      <c r="E91" s="1">
        <f>Tabela2[[#This Row],[Number Players]]-Tabela2[[#This Row],[Total Players]]</f>
        <v>0</v>
      </c>
      <c r="F91" s="1"/>
    </row>
    <row r="92" spans="1:6" x14ac:dyDescent="0.3">
      <c r="A92" s="1" t="s">
        <v>122</v>
      </c>
      <c r="B92" s="1" t="s">
        <v>168</v>
      </c>
      <c r="C92" s="1" t="s">
        <v>26</v>
      </c>
      <c r="D92" s="1">
        <f>COUNTIF(Tabela1[Team],Tabela2[[#This Row],[Team]])</f>
        <v>0</v>
      </c>
      <c r="E92" s="1">
        <f>Tabela2[[#This Row],[Number Players]]-Tabela2[[#This Row],[Total Players]]</f>
        <v>0</v>
      </c>
      <c r="F92" s="1"/>
    </row>
    <row r="93" spans="1:6" x14ac:dyDescent="0.3">
      <c r="A93" s="1" t="s">
        <v>123</v>
      </c>
      <c r="B93" s="1" t="s">
        <v>170</v>
      </c>
      <c r="C93" s="1" t="s">
        <v>26</v>
      </c>
      <c r="D93" s="1">
        <f>COUNTIF(Tabela1[Team],Tabela2[[#This Row],[Team]])</f>
        <v>0</v>
      </c>
      <c r="E93" s="1">
        <f>Tabela2[[#This Row],[Number Players]]-Tabela2[[#This Row],[Total Players]]</f>
        <v>0</v>
      </c>
      <c r="F93" s="1"/>
    </row>
    <row r="94" spans="1:6" x14ac:dyDescent="0.3">
      <c r="A94" s="1" t="s">
        <v>120</v>
      </c>
      <c r="B94" s="1" t="s">
        <v>168</v>
      </c>
      <c r="C94" s="1" t="s">
        <v>26</v>
      </c>
      <c r="D94" s="1">
        <f>COUNTIF(Tabela1[Team],Tabela2[[#This Row],[Team]])</f>
        <v>0</v>
      </c>
      <c r="E94" s="1">
        <f>Tabela2[[#This Row],[Number Players]]-Tabela2[[#This Row],[Total Players]]</f>
        <v>0</v>
      </c>
      <c r="F94" s="1"/>
    </row>
    <row r="95" spans="1:6" x14ac:dyDescent="0.3">
      <c r="A95" s="1" t="s">
        <v>116</v>
      </c>
      <c r="B95" s="1" t="s">
        <v>152</v>
      </c>
      <c r="C95" s="1" t="s">
        <v>26</v>
      </c>
      <c r="D95" s="1">
        <f>COUNTIF(Tabela1[Team],Tabela2[[#This Row],[Team]])</f>
        <v>0</v>
      </c>
      <c r="E95" s="1">
        <f>Tabela2[[#This Row],[Number Players]]-Tabela2[[#This Row],[Total Players]]</f>
        <v>0</v>
      </c>
      <c r="F95" s="1"/>
    </row>
    <row r="96" spans="1:6" x14ac:dyDescent="0.3">
      <c r="A96" s="1" t="s">
        <v>115</v>
      </c>
      <c r="B96" s="1" t="s">
        <v>156</v>
      </c>
      <c r="C96" s="1" t="s">
        <v>26</v>
      </c>
      <c r="D96" s="1">
        <f>COUNTIF(Tabela1[Team],Tabela2[[#This Row],[Team]])</f>
        <v>0</v>
      </c>
      <c r="E96" s="1">
        <f>Tabela2[[#This Row],[Number Players]]-Tabela2[[#This Row],[Total Players]]</f>
        <v>0</v>
      </c>
      <c r="F96" s="1"/>
    </row>
    <row r="97" spans="1:6" x14ac:dyDescent="0.3">
      <c r="A97" s="1" t="s">
        <v>118</v>
      </c>
      <c r="B97" s="1" t="s">
        <v>162</v>
      </c>
      <c r="C97" s="1" t="s">
        <v>26</v>
      </c>
      <c r="D97" s="1">
        <f>COUNTIF(Tabela1[Team],Tabela2[[#This Row],[Team]])</f>
        <v>0</v>
      </c>
      <c r="E97" s="1">
        <f>Tabela2[[#This Row],[Number Players]]-Tabela2[[#This Row],[Total Players]]</f>
        <v>0</v>
      </c>
      <c r="F97" s="1"/>
    </row>
    <row r="98" spans="1:6" x14ac:dyDescent="0.3">
      <c r="A98" s="1" t="s">
        <v>121</v>
      </c>
      <c r="B98" s="1" t="s">
        <v>163</v>
      </c>
      <c r="C98" s="1" t="s">
        <v>26</v>
      </c>
      <c r="D98" s="1">
        <f>COUNTIF(Tabela1[Team],Tabela2[[#This Row],[Team]])</f>
        <v>0</v>
      </c>
      <c r="E98" s="1">
        <f>Tabela2[[#This Row],[Number Players]]-Tabela2[[#This Row],[Total Players]]</f>
        <v>0</v>
      </c>
      <c r="F98" s="1"/>
    </row>
    <row r="99" spans="1:6" x14ac:dyDescent="0.3">
      <c r="A99" s="1" t="s">
        <v>125</v>
      </c>
      <c r="B99" s="1" t="s">
        <v>187</v>
      </c>
      <c r="C99" s="1" t="s">
        <v>26</v>
      </c>
      <c r="D99" s="1">
        <f>COUNTIF(Tabela1[Team],Tabela2[[#This Row],[Team]])</f>
        <v>0</v>
      </c>
      <c r="E99" s="1">
        <f>Tabela2[[#This Row],[Number Players]]-Tabela2[[#This Row],[Total Players]]</f>
        <v>0</v>
      </c>
      <c r="F99" s="1"/>
    </row>
    <row r="100" spans="1:6" x14ac:dyDescent="0.3">
      <c r="A100" s="1" t="s">
        <v>124</v>
      </c>
      <c r="B100" s="1" t="s">
        <v>187</v>
      </c>
      <c r="C100" s="1" t="s">
        <v>26</v>
      </c>
      <c r="D100" s="1">
        <f>COUNTIF(Tabela1[Team],Tabela2[[#This Row],[Team]])</f>
        <v>0</v>
      </c>
      <c r="E100" s="1">
        <f>Tabela2[[#This Row],[Number Players]]-Tabela2[[#This Row],[Total Players]]</f>
        <v>0</v>
      </c>
      <c r="F100" s="1"/>
    </row>
    <row r="101" spans="1:6" x14ac:dyDescent="0.3">
      <c r="A101" s="1" t="s">
        <v>117</v>
      </c>
      <c r="B101" s="1" t="s">
        <v>173</v>
      </c>
      <c r="C101" s="1" t="s">
        <v>26</v>
      </c>
      <c r="D101" s="1">
        <f>COUNTIF(Tabela1[Team],Tabela2[[#This Row],[Team]])</f>
        <v>0</v>
      </c>
      <c r="E101" s="1">
        <f>Tabela2[[#This Row],[Number Players]]-Tabela2[[#This Row],[Total Players]]</f>
        <v>0</v>
      </c>
      <c r="F101" s="1"/>
    </row>
    <row r="102" spans="1:6" x14ac:dyDescent="0.3">
      <c r="A102" s="1" t="s">
        <v>114</v>
      </c>
      <c r="B102" s="1" t="s">
        <v>164</v>
      </c>
      <c r="C102" s="1" t="s">
        <v>26</v>
      </c>
      <c r="D102" s="1">
        <f>COUNTIF(Tabela1[Team],Tabela2[[#This Row],[Team]])</f>
        <v>0</v>
      </c>
      <c r="E102" s="1">
        <f>Tabela2[[#This Row],[Number Players]]-Tabela2[[#This Row],[Total Players]]</f>
        <v>0</v>
      </c>
      <c r="F102" s="1"/>
    </row>
    <row r="103" spans="1:6" x14ac:dyDescent="0.3">
      <c r="A103" s="1" t="s">
        <v>119</v>
      </c>
      <c r="B103" s="1" t="s">
        <v>164</v>
      </c>
      <c r="C103" s="1" t="s">
        <v>26</v>
      </c>
      <c r="D103" s="1">
        <f>COUNTIF(Tabela1[Team],Tabela2[[#This Row],[Team]])</f>
        <v>0</v>
      </c>
      <c r="E103" s="1">
        <f>Tabela2[[#This Row],[Number Players]]-Tabela2[[#This Row],[Total Players]]</f>
        <v>0</v>
      </c>
      <c r="F103" s="1"/>
    </row>
    <row r="104" spans="1:6" x14ac:dyDescent="0.3">
      <c r="A104" s="1" t="s">
        <v>131</v>
      </c>
      <c r="B104" s="1" t="s">
        <v>170</v>
      </c>
      <c r="C104" s="1" t="s">
        <v>27</v>
      </c>
      <c r="D104" s="1">
        <f>COUNTIF(Tabela1[Team],Tabela2[[#This Row],[Team]])</f>
        <v>0</v>
      </c>
      <c r="E104" s="1">
        <f>Tabela2[[#This Row],[Number Players]]-Tabela2[[#This Row],[Total Players]]</f>
        <v>0</v>
      </c>
      <c r="F104" s="1"/>
    </row>
    <row r="105" spans="1:6" x14ac:dyDescent="0.3">
      <c r="A105" s="1" t="s">
        <v>148</v>
      </c>
      <c r="B105" s="1" t="s">
        <v>152</v>
      </c>
      <c r="C105" s="1" t="s">
        <v>27</v>
      </c>
      <c r="D105" s="1">
        <f>COUNTIF(Tabela1[Team],Tabela2[[#This Row],[Team]])</f>
        <v>0</v>
      </c>
      <c r="E105" s="1">
        <f>Tabela2[[#This Row],[Number Players]]-Tabela2[[#This Row],[Total Players]]</f>
        <v>0</v>
      </c>
      <c r="F105" s="1"/>
    </row>
    <row r="106" spans="1:6" x14ac:dyDescent="0.3">
      <c r="A106" s="1" t="s">
        <v>147</v>
      </c>
      <c r="B106" s="1" t="s">
        <v>152</v>
      </c>
      <c r="C106" s="1" t="s">
        <v>27</v>
      </c>
      <c r="D106" s="1">
        <f>COUNTIF(Tabela1[Team],Tabela2[[#This Row],[Team]])</f>
        <v>0</v>
      </c>
      <c r="E106" s="1">
        <f>Tabela2[[#This Row],[Number Players]]-Tabela2[[#This Row],[Total Players]]</f>
        <v>0</v>
      </c>
      <c r="F106" s="1"/>
    </row>
    <row r="107" spans="1:6" x14ac:dyDescent="0.3">
      <c r="A107" s="1" t="s">
        <v>134</v>
      </c>
      <c r="B107" s="1" t="s">
        <v>163</v>
      </c>
      <c r="C107" s="1" t="s">
        <v>27</v>
      </c>
      <c r="D107" s="1">
        <f>COUNTIF(Tabela1[Team],Tabela2[[#This Row],[Team]])</f>
        <v>0</v>
      </c>
      <c r="E107" s="1">
        <f>Tabela2[[#This Row],[Number Players]]-Tabela2[[#This Row],[Total Players]]</f>
        <v>0</v>
      </c>
      <c r="F107" s="1"/>
    </row>
    <row r="108" spans="1:6" x14ac:dyDescent="0.3">
      <c r="A108" s="1" t="s">
        <v>130</v>
      </c>
      <c r="B108" s="1" t="s">
        <v>163</v>
      </c>
      <c r="C108" s="1" t="s">
        <v>27</v>
      </c>
      <c r="D108" s="1">
        <f>COUNTIF(Tabela1[Team],Tabela2[[#This Row],[Team]])</f>
        <v>0</v>
      </c>
      <c r="E108" s="1">
        <f>Tabela2[[#This Row],[Number Players]]-Tabela2[[#This Row],[Total Players]]</f>
        <v>0</v>
      </c>
      <c r="F108" s="1"/>
    </row>
    <row r="109" spans="1:6" x14ac:dyDescent="0.3">
      <c r="A109" s="1" t="s">
        <v>129</v>
      </c>
      <c r="B109" s="1" t="s">
        <v>164</v>
      </c>
      <c r="C109" s="1" t="s">
        <v>27</v>
      </c>
      <c r="D109" s="1">
        <f>COUNTIF(Tabela1[Team],Tabela2[[#This Row],[Team]])</f>
        <v>0</v>
      </c>
      <c r="E109" s="1">
        <f>Tabela2[[#This Row],[Number Players]]-Tabela2[[#This Row],[Total Players]]</f>
        <v>0</v>
      </c>
      <c r="F109" s="1"/>
    </row>
    <row r="110" spans="1:6" x14ac:dyDescent="0.3">
      <c r="A110" s="1" t="s">
        <v>126</v>
      </c>
      <c r="B110" s="1" t="s">
        <v>153</v>
      </c>
      <c r="C110" s="1" t="s">
        <v>27</v>
      </c>
      <c r="D110" s="1">
        <f>COUNTIF(Tabela1[Team],Tabela2[[#This Row],[Team]])</f>
        <v>0</v>
      </c>
      <c r="E110" s="1">
        <f>Tabela2[[#This Row],[Number Players]]-Tabela2[[#This Row],[Total Players]]</f>
        <v>0</v>
      </c>
      <c r="F110" s="1"/>
    </row>
    <row r="111" spans="1:6" x14ac:dyDescent="0.3">
      <c r="A111" s="1" t="s">
        <v>127</v>
      </c>
      <c r="B111" s="1" t="s">
        <v>168</v>
      </c>
      <c r="C111" s="1" t="s">
        <v>27</v>
      </c>
      <c r="D111" s="1">
        <f>COUNTIF(Tabela1[Team],Tabela2[[#This Row],[Team]])</f>
        <v>0</v>
      </c>
      <c r="E111" s="1">
        <f>Tabela2[[#This Row],[Number Players]]-Tabela2[[#This Row],[Total Players]]</f>
        <v>0</v>
      </c>
      <c r="F111" s="1"/>
    </row>
    <row r="112" spans="1:6" x14ac:dyDescent="0.3">
      <c r="A112" s="1" t="s">
        <v>190</v>
      </c>
      <c r="B112" s="1" t="s">
        <v>162</v>
      </c>
      <c r="C112" s="1" t="s">
        <v>27</v>
      </c>
      <c r="D112" s="1">
        <f>COUNTIF(Tabela1[Team],Tabela2[[#This Row],[Team]])</f>
        <v>0</v>
      </c>
      <c r="E112" s="1">
        <f>Tabela2[[#This Row],[Number Players]]-Tabela2[[#This Row],[Total Players]]</f>
        <v>0</v>
      </c>
      <c r="F112" s="1"/>
    </row>
    <row r="113" spans="1:6" x14ac:dyDescent="0.3">
      <c r="A113" s="1" t="s">
        <v>135</v>
      </c>
      <c r="B113" s="1" t="s">
        <v>158</v>
      </c>
      <c r="C113" s="1" t="s">
        <v>28</v>
      </c>
      <c r="D113" s="1">
        <f>COUNTIF(Tabela1[Team],Tabela2[[#This Row],[Team]])</f>
        <v>0</v>
      </c>
      <c r="E113" s="1">
        <f>Tabela2[[#This Row],[Number Players]]-Tabela2[[#This Row],[Total Players]]</f>
        <v>0</v>
      </c>
      <c r="F113" s="1"/>
    </row>
    <row r="114" spans="1:6" x14ac:dyDescent="0.3">
      <c r="A114" s="1" t="s">
        <v>137</v>
      </c>
      <c r="B114" s="1" t="s">
        <v>149</v>
      </c>
      <c r="C114" s="1" t="s">
        <v>28</v>
      </c>
      <c r="D114" s="1">
        <f>COUNTIF(Tabela1[Team],Tabela2[[#This Row],[Team]])</f>
        <v>0</v>
      </c>
      <c r="E114" s="1">
        <f>Tabela2[[#This Row],[Number Players]]-Tabela2[[#This Row],[Total Players]]</f>
        <v>0</v>
      </c>
      <c r="F114" s="1"/>
    </row>
    <row r="115" spans="1:6" x14ac:dyDescent="0.3">
      <c r="A115" s="1" t="s">
        <v>144</v>
      </c>
      <c r="B115" s="1" t="s">
        <v>157</v>
      </c>
      <c r="C115" s="1" t="s">
        <v>28</v>
      </c>
      <c r="D115" s="1">
        <f>COUNTIF(Tabela1[Team],Tabela2[[#This Row],[Team]])</f>
        <v>0</v>
      </c>
      <c r="E115" s="1">
        <f>Tabela2[[#This Row],[Number Players]]-Tabela2[[#This Row],[Total Players]]</f>
        <v>0</v>
      </c>
      <c r="F115" s="1"/>
    </row>
    <row r="116" spans="1:6" x14ac:dyDescent="0.3">
      <c r="A116" s="1" t="s">
        <v>133</v>
      </c>
      <c r="B116" s="1" t="s">
        <v>158</v>
      </c>
      <c r="C116" s="1" t="s">
        <v>28</v>
      </c>
      <c r="D116" s="1">
        <f>COUNTIF(Tabela1[Team],Tabela2[[#This Row],[Team]])</f>
        <v>0</v>
      </c>
      <c r="E116" s="1">
        <f>Tabela2[[#This Row],[Number Players]]-Tabela2[[#This Row],[Total Players]]</f>
        <v>0</v>
      </c>
      <c r="F116" s="1"/>
    </row>
    <row r="117" spans="1:6" x14ac:dyDescent="0.3">
      <c r="A117" s="1" t="s">
        <v>138</v>
      </c>
      <c r="B117" s="1" t="s">
        <v>163</v>
      </c>
      <c r="C117" s="1" t="s">
        <v>28</v>
      </c>
      <c r="D117" s="1">
        <f>COUNTIF(Tabela1[Team],Tabela2[[#This Row],[Team]])</f>
        <v>0</v>
      </c>
      <c r="E117" s="1">
        <f>Tabela2[[#This Row],[Number Players]]-Tabela2[[#This Row],[Total Players]]</f>
        <v>0</v>
      </c>
      <c r="F117" s="1"/>
    </row>
    <row r="118" spans="1:6" x14ac:dyDescent="0.3">
      <c r="A118" s="1" t="s">
        <v>139</v>
      </c>
      <c r="B118" s="1" t="s">
        <v>178</v>
      </c>
      <c r="C118" s="1" t="s">
        <v>28</v>
      </c>
      <c r="D118" s="1">
        <f>COUNTIF(Tabela1[Team],Tabela2[[#This Row],[Team]])</f>
        <v>0</v>
      </c>
      <c r="E118" s="1">
        <f>Tabela2[[#This Row],[Number Players]]-Tabela2[[#This Row],[Total Players]]</f>
        <v>0</v>
      </c>
      <c r="F118" s="1"/>
    </row>
    <row r="119" spans="1:6" x14ac:dyDescent="0.3">
      <c r="A119" s="1" t="s">
        <v>128</v>
      </c>
      <c r="B119" s="1" t="s">
        <v>188</v>
      </c>
      <c r="C119" s="1" t="s">
        <v>28</v>
      </c>
      <c r="D119" s="1">
        <f>COUNTIF(Tabela1[Team],Tabela2[[#This Row],[Team]])</f>
        <v>0</v>
      </c>
      <c r="E119" s="1">
        <f>Tabela2[[#This Row],[Number Players]]-Tabela2[[#This Row],[Total Players]]</f>
        <v>0</v>
      </c>
      <c r="F119" s="1"/>
    </row>
    <row r="120" spans="1:6" x14ac:dyDescent="0.3">
      <c r="A120" s="1" t="s">
        <v>143</v>
      </c>
      <c r="B120" s="1" t="s">
        <v>149</v>
      </c>
      <c r="C120" s="1" t="s">
        <v>28</v>
      </c>
      <c r="D120" s="1">
        <f>COUNTIF(Tabela1[Team],Tabela2[[#This Row],[Team]])</f>
        <v>0</v>
      </c>
      <c r="E120" s="1">
        <f>Tabela2[[#This Row],[Number Players]]-Tabela2[[#This Row],[Total Players]]</f>
        <v>0</v>
      </c>
      <c r="F120" s="1"/>
    </row>
    <row r="121" spans="1:6" x14ac:dyDescent="0.3">
      <c r="A121" s="1" t="s">
        <v>132</v>
      </c>
      <c r="B121" s="1" t="s">
        <v>155</v>
      </c>
      <c r="C121" s="1" t="s">
        <v>28</v>
      </c>
      <c r="D121" s="1">
        <f>COUNTIF(Tabela1[Team],Tabela2[[#This Row],[Team]])</f>
        <v>0</v>
      </c>
      <c r="E121" s="1">
        <f>Tabela2[[#This Row],[Number Players]]-Tabela2[[#This Row],[Total Players]]</f>
        <v>0</v>
      </c>
      <c r="F121" s="1"/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BCDD3-583E-4C9B-B1E6-6FCE6D173D13}">
  <dimension ref="A1:B13"/>
  <sheetViews>
    <sheetView topLeftCell="A7" workbookViewId="0">
      <selection activeCell="A14" sqref="A14"/>
    </sheetView>
  </sheetViews>
  <sheetFormatPr defaultRowHeight="14.4" x14ac:dyDescent="0.3"/>
  <cols>
    <col min="1" max="1" width="26.44140625" bestFit="1" customWidth="1"/>
    <col min="2" max="2" width="16.109375" bestFit="1" customWidth="1"/>
  </cols>
  <sheetData>
    <row r="1" spans="1:2" x14ac:dyDescent="0.3">
      <c r="A1" t="s">
        <v>14</v>
      </c>
      <c r="B1" t="s">
        <v>15</v>
      </c>
    </row>
    <row r="2" spans="1:2" x14ac:dyDescent="0.3">
      <c r="A2" s="1" t="s">
        <v>18</v>
      </c>
      <c r="B2" s="1">
        <f>COUNTIF(Tabela2[Conference],Tabela4[[#This Row],[Conference]])</f>
        <v>12</v>
      </c>
    </row>
    <row r="3" spans="1:2" x14ac:dyDescent="0.3">
      <c r="A3" s="1" t="s">
        <v>19</v>
      </c>
      <c r="B3" s="1">
        <f>COUNTIF(Tabela2[Conference],Tabela4[[#This Row],[Conference]])</f>
        <v>12</v>
      </c>
    </row>
    <row r="4" spans="1:2" x14ac:dyDescent="0.3">
      <c r="A4" s="1" t="s">
        <v>20</v>
      </c>
      <c r="B4" s="1">
        <f>COUNTIF(Tabela2[Conference],Tabela4[[#This Row],[Conference]])</f>
        <v>8</v>
      </c>
    </row>
    <row r="5" spans="1:2" x14ac:dyDescent="0.3">
      <c r="A5" s="1" t="s">
        <v>21</v>
      </c>
      <c r="B5" s="1">
        <f>COUNTIF(Tabela2[Conference],Tabela4[[#This Row],[Conference]])</f>
        <v>11</v>
      </c>
    </row>
    <row r="6" spans="1:2" x14ac:dyDescent="0.3">
      <c r="A6" s="1" t="s">
        <v>22</v>
      </c>
      <c r="B6" s="1">
        <f>COUNTIF(Tabela2[Conference],Tabela4[[#This Row],[Conference]])</f>
        <v>12</v>
      </c>
    </row>
    <row r="7" spans="1:2" x14ac:dyDescent="0.3">
      <c r="A7" s="1" t="s">
        <v>29</v>
      </c>
      <c r="B7" s="1">
        <f>COUNTIF(Tabela2[Conference],Tabela4[[#This Row],[Conference]])</f>
        <v>3</v>
      </c>
    </row>
    <row r="8" spans="1:2" x14ac:dyDescent="0.3">
      <c r="A8" s="1" t="s">
        <v>23</v>
      </c>
      <c r="B8" s="1">
        <f>COUNTIF(Tabela2[Conference],Tabela4[[#This Row],[Conference]])</f>
        <v>13</v>
      </c>
    </row>
    <row r="9" spans="1:2" x14ac:dyDescent="0.3">
      <c r="A9" s="1" t="s">
        <v>24</v>
      </c>
      <c r="B9" s="1">
        <f>COUNTIF(Tabela2[Conference],Tabela4[[#This Row],[Conference]])</f>
        <v>9</v>
      </c>
    </row>
    <row r="10" spans="1:2" x14ac:dyDescent="0.3">
      <c r="A10" s="1" t="s">
        <v>25</v>
      </c>
      <c r="B10" s="1">
        <f>COUNTIF(Tabela2[Conference],Tabela4[[#This Row],[Conference]])</f>
        <v>10</v>
      </c>
    </row>
    <row r="11" spans="1:2" x14ac:dyDescent="0.3">
      <c r="A11" s="1" t="s">
        <v>26</v>
      </c>
      <c r="B11" s="1">
        <f>COUNTIF(Tabela2[Conference],Tabela4[[#This Row],[Conference]])</f>
        <v>12</v>
      </c>
    </row>
    <row r="12" spans="1:2" x14ac:dyDescent="0.3">
      <c r="A12" s="1" t="s">
        <v>27</v>
      </c>
      <c r="B12" s="1">
        <f>COUNTIF(Tabela2[Conference],Tabela4[[#This Row],[Conference]])</f>
        <v>9</v>
      </c>
    </row>
    <row r="13" spans="1:2" x14ac:dyDescent="0.3">
      <c r="A13" s="1" t="s">
        <v>28</v>
      </c>
      <c r="B13" s="1">
        <f>COUNTIF(Tabela2[Conference],Tabela4[[#This Row],[Conference]])</f>
        <v>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A63DD-45B9-4ED3-AB7D-3A8C901A5B88}">
  <dimension ref="A1:F6"/>
  <sheetViews>
    <sheetView workbookViewId="0">
      <selection activeCell="A7" sqref="A7"/>
    </sheetView>
  </sheetViews>
  <sheetFormatPr defaultRowHeight="14.4" x14ac:dyDescent="0.3"/>
  <cols>
    <col min="1" max="1" width="7.44140625" bestFit="1" customWidth="1"/>
    <col min="2" max="2" width="16" bestFit="1" customWidth="1"/>
    <col min="3" max="3" width="16.109375" bestFit="1" customWidth="1"/>
    <col min="4" max="4" width="13.88671875" bestFit="1" customWidth="1"/>
    <col min="5" max="5" width="20.88671875" bestFit="1" customWidth="1"/>
    <col min="6" max="6" width="19.109375" bestFit="1" customWidth="1"/>
  </cols>
  <sheetData>
    <row r="1" spans="1:6" x14ac:dyDescent="0.3">
      <c r="A1" t="s">
        <v>8</v>
      </c>
      <c r="B1" t="s">
        <v>10</v>
      </c>
      <c r="C1" t="s">
        <v>9</v>
      </c>
      <c r="D1" t="s">
        <v>4</v>
      </c>
      <c r="E1" t="s">
        <v>12</v>
      </c>
      <c r="F1" t="s">
        <v>11</v>
      </c>
    </row>
    <row r="2" spans="1:6" x14ac:dyDescent="0.3">
      <c r="A2" s="1">
        <v>2011</v>
      </c>
      <c r="B2" s="2" t="e">
        <f>SUMIFS(Tabela1[Rating],Tabela1[NFL Draft Year],Tabela3[[#This Row],[Draft]])/Tabela3[[#This Row],[Total Players]]</f>
        <v>#DIV/0!</v>
      </c>
      <c r="C2" s="1">
        <f>COUNTIFS(Tabela1[NFL Draft Year],Tabela3[[#This Row],[Draft]],Tabela1[NFL Draft Pick],"&gt;0")</f>
        <v>0</v>
      </c>
      <c r="D2" s="1">
        <f>COUNTIFS(Tabela1[NFL Draft Year],Tabela3[[#This Row],[Draft]])</f>
        <v>0</v>
      </c>
      <c r="E2" s="1">
        <f>COUNTIFS(Tabela1[NFL Draft Year],Tabela3[[#This Row],[Draft]],Tabela1[Rating],"&lt;90")-COUNTIFS(Tabela1[NFL Draft Year],Tabela3[[#This Row],[Draft]],Tabela1[Rating],"&lt;80")</f>
        <v>0</v>
      </c>
      <c r="F2" s="1">
        <f>COUNTIFS(Tabela1[NFL Draft Year],Tabela3[[#This Row],[Draft]],Tabela1[Rating],"&lt;100")-COUNTIFS(Tabela1[NFL Draft Year],Tabela3[[#This Row],[Draft]],Tabela1[Rating],"&lt;90")</f>
        <v>0</v>
      </c>
    </row>
    <row r="3" spans="1:6" x14ac:dyDescent="0.3">
      <c r="A3" s="1">
        <v>2012</v>
      </c>
      <c r="B3" s="2" t="e">
        <f>SUMIFS(Tabela1[Rating],Tabela1[NFL Draft Year],Tabela3[[#This Row],[Draft]])/Tabela3[[#This Row],[Total Players]]</f>
        <v>#DIV/0!</v>
      </c>
      <c r="C3" s="1">
        <f>COUNTIFS(Tabela1[NFL Draft Year],Tabela3[[#This Row],[Draft]],Tabela1[NFL Draft Pick],"&gt;0")</f>
        <v>0</v>
      </c>
      <c r="D3" s="1">
        <f>COUNTIFS(Tabela1[NFL Draft Year],Tabela3[[#This Row],[Draft]])</f>
        <v>0</v>
      </c>
      <c r="E3" s="1">
        <f>COUNTIFS(Tabela1[NFL Draft Year],Tabela3[[#This Row],[Draft]],Tabela1[Rating],"&lt;90")-COUNTIFS(Tabela1[NFL Draft Year],Tabela3[[#This Row],[Draft]],Tabela1[Rating],"&lt;80")</f>
        <v>0</v>
      </c>
      <c r="F3" s="1">
        <f>COUNTIFS(Tabela1[NFL Draft Year],Tabela3[[#This Row],[Draft]],Tabela1[Rating],"&lt;100")-COUNTIFS(Tabela1[NFL Draft Year],Tabela3[[#This Row],[Draft]],Tabela1[Rating],"&lt;90")</f>
        <v>0</v>
      </c>
    </row>
    <row r="4" spans="1:6" x14ac:dyDescent="0.3">
      <c r="A4" s="1">
        <v>2013</v>
      </c>
      <c r="B4" s="2" t="e">
        <f>SUMIFS(Tabela1[Rating],Tabela1[NFL Draft Year],Tabela3[[#This Row],[Draft]])/Tabela3[[#This Row],[Total Players]]</f>
        <v>#DIV/0!</v>
      </c>
      <c r="C4" s="1">
        <f>COUNTIFS(Tabela1[NFL Draft Year],Tabela3[[#This Row],[Draft]],Tabela1[NFL Draft Pick],"&gt;0")</f>
        <v>0</v>
      </c>
      <c r="D4" s="1">
        <f>COUNTIFS(Tabela1[NFL Draft Year],Tabela3[[#This Row],[Draft]])</f>
        <v>0</v>
      </c>
      <c r="E4" s="1">
        <f>COUNTIFS(Tabela1[NFL Draft Year],Tabela3[[#This Row],[Draft]],Tabela1[Rating],"&lt;90")-COUNTIFS(Tabela1[NFL Draft Year],Tabela3[[#This Row],[Draft]],Tabela1[Rating],"&lt;80")</f>
        <v>0</v>
      </c>
      <c r="F4" s="1">
        <f>COUNTIFS(Tabela1[NFL Draft Year],Tabela3[[#This Row],[Draft]],Tabela1[Rating],"&lt;100")-COUNTIFS(Tabela1[NFL Draft Year],Tabela3[[#This Row],[Draft]],Tabela1[Rating],"&lt;90")</f>
        <v>0</v>
      </c>
    </row>
    <row r="5" spans="1:6" x14ac:dyDescent="0.3">
      <c r="A5" s="1">
        <v>2014</v>
      </c>
      <c r="B5" s="2" t="e">
        <f>SUMIFS(Tabela1[Rating],Tabela1[NFL Draft Year],Tabela3[[#This Row],[Draft]])/Tabela3[[#This Row],[Total Players]]</f>
        <v>#DIV/0!</v>
      </c>
      <c r="C5" s="1">
        <f>COUNTIFS(Tabela1[NFL Draft Year],Tabela3[[#This Row],[Draft]],Tabela1[NFL Draft Pick],"&gt;0")</f>
        <v>0</v>
      </c>
      <c r="D5" s="1">
        <f>COUNTIFS(Tabela1[NFL Draft Year],Tabela3[[#This Row],[Draft]])</f>
        <v>0</v>
      </c>
      <c r="E5" s="1">
        <f>COUNTIFS(Tabela1[NFL Draft Year],Tabela3[[#This Row],[Draft]],Tabela1[Rating],"&lt;90")-COUNTIFS(Tabela1[NFL Draft Year],Tabela3[[#This Row],[Draft]],Tabela1[Rating],"&lt;80")</f>
        <v>0</v>
      </c>
      <c r="F5" s="1">
        <f>COUNTIFS(Tabela1[NFL Draft Year],Tabela3[[#This Row],[Draft]],Tabela1[Rating],"&lt;100")-COUNTIFS(Tabela1[NFL Draft Year],Tabela3[[#This Row],[Draft]],Tabela1[Rating],"&lt;90")</f>
        <v>0</v>
      </c>
    </row>
    <row r="6" spans="1:6" x14ac:dyDescent="0.3">
      <c r="A6" s="1">
        <v>2015</v>
      </c>
      <c r="B6" s="2" t="e">
        <f>SUMIFS(Tabela1[Rating],Tabela1[NFL Draft Year],Tabela3[[#This Row],[Draft]])/Tabela3[[#This Row],[Total Players]]</f>
        <v>#DIV/0!</v>
      </c>
      <c r="C6" s="1">
        <f>COUNTIFS(Tabela1[NFL Draft Year],Tabela3[[#This Row],[Draft]],Tabela1[NFL Draft Pick],"&gt;0")</f>
        <v>0</v>
      </c>
      <c r="D6" s="1">
        <f>COUNTIFS(Tabela1[NFL Draft Year],Tabela3[[#This Row],[Draft]])</f>
        <v>0</v>
      </c>
      <c r="E6" s="1">
        <f>COUNTIFS(Tabela1[NFL Draft Year],Tabela3[[#This Row],[Draft]],Tabela1[Rating],"&lt;90")-COUNTIFS(Tabela1[NFL Draft Year],Tabela3[[#This Row],[Draft]],Tabela1[Rating],"&lt;80")</f>
        <v>0</v>
      </c>
      <c r="F6" s="1">
        <f>COUNTIFS(Tabela1[NFL Draft Year],Tabela3[[#This Row],[Draft]],Tabela1[Rating],"&lt;100")-COUNTIFS(Tabela1[NFL Draft Year],Tabela3[[#This Row],[Draft]],Tabela1[Rating],"&lt;90")</f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Players</vt:lpstr>
      <vt:lpstr>Teams</vt:lpstr>
      <vt:lpstr>Conferences</vt:lpstr>
      <vt:lpstr>Draft Players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2026-01-27T18:03:00Z</dcterms:modified>
</cp:coreProperties>
</file>