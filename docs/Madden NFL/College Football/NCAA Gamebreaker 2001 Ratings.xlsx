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92" documentId="11_AD4DF034E34935FBC521DCD7BFD97F025BDEDD8C" xr6:coauthVersionLast="47" xr6:coauthVersionMax="47" xr10:uidLastSave="{A0173033-BC3A-4C1F-8B76-B09DB5E477E0}"/>
  <bookViews>
    <workbookView xWindow="156" yWindow="384" windowWidth="22884" windowHeight="10476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 s="1"/>
  <c r="D4" i="2"/>
  <c r="E4" i="2" s="1"/>
  <c r="D5" i="2"/>
  <c r="E5" i="2" s="1"/>
  <c r="D6" i="2"/>
  <c r="E6" i="2" s="1"/>
  <c r="D7" i="2"/>
  <c r="E7" i="2"/>
  <c r="D8" i="2"/>
  <c r="E8" i="2" s="1"/>
  <c r="D9" i="2"/>
  <c r="E9" i="2"/>
  <c r="D10" i="2"/>
  <c r="E10" i="2"/>
  <c r="D11" i="2"/>
  <c r="E11" i="2"/>
  <c r="D12" i="2"/>
  <c r="E12" i="2"/>
  <c r="D13" i="2"/>
  <c r="E13" i="2" s="1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2" i="2"/>
  <c r="E2" i="2"/>
  <c r="B6" i="6"/>
  <c r="B8" i="6"/>
  <c r="B13" i="6"/>
  <c r="B12" i="6"/>
  <c r="B11" i="6"/>
  <c r="B10" i="6"/>
  <c r="B9" i="6"/>
  <c r="B7" i="6"/>
  <c r="B5" i="6"/>
  <c r="B4" i="6"/>
  <c r="B3" i="6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<sst xmlns="http://schemas.openxmlformats.org/spreadsheetml/2006/main" count="381" uniqueCount="187">
  <si>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</si>
  <si>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</si>
  <si>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</si>
  <si>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</si>
  <si>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</si>
  <si>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</si>
  <si>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</si>
  <si>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</si>
  <si>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</si>
  <si>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</si>
  <si>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</si>
  <si>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</si>
  <si>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</si>
  <si>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</si>
  <si>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</si>
  <si>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</si>
  <si>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</si>
  <si>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</si>
  <si>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</si>
  <si>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</si>
  <si>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</si>
  <si>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</si>
  <si>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</si>
  <si>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</si>
  <si>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</si>
  <si>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</si>
  <si>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</si>
  <si>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</si>
  <si>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</si>
  <si>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</si>
  <si>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</si>
  <si>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</si>
  <si>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</si>
  <si>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</si>
  <si>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</si>
  <si>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</si>
  <si>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</si>
  <si>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</si>
  <si>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</si>
  <si>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</si>
  <si>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</si>
  <si>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</si>
  <si>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</si>
  <si>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</si>
  <si>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</si>
  <si>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</si>
  <si>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</si>
  <si>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</si>
  <si>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</si>
  <si>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</si>
  <si>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</si>
  <si>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</si>
  <si>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</si>
  <si>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</si>
  <si>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</si>
  <si>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</si>
  <si>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</si>
  <si>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</si>
  <si>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</si>
  <si>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</si>
  <si>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</si>
  <si>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</si>
  <si>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</si>
  <si>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</si>
  <si>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</si>
  <si>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</si>
  <si>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</si>
  <si>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</si>
  <si>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</si>
  <si>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</si>
  <si>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</si>
  <si>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</si>
  <si>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</si>
  <si>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</si>
  <si>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</si>
  <si>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</si>
  <si>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</si>
  <si>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</si>
  <si>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</si>
  <si>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</si>
  <si>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</si>
  <si>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</si>
  <si>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</si>
  <si>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</si>
  <si>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</si>
  <si>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</si>
  <si>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</si>
  <si>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</si>
  <si>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</si>
  <si>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</si>
  <si>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</si>
  <si>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</si>
  <si>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</si>
  <si>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</si>
  <si>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</si>
  <si>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</si>
  <si>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</si>
  <si>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</si>
  <si>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</si>
  <si>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</si>
  <si>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</si>
  <si>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</si>
  <si>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</si>
  <si>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</si>
  <si>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</si>
  <si>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</si>
  <si>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</si>
  <si>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</si>
  <si>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</si>
  <si>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</si>
  <si>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</si>
  <si>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</si>
  <si>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</si>
  <si>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</si>
  <si>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</si>
  <si>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</si>
  <si>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</si>
  <si>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</si>
  <si>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</si>
  <si>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</si>
  <si>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</si>
  <si>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</si>
  <si>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</si>
  <si>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</si>
  <si>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</si>
  <si>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</si>
  <si>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</si>
  <si>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</si>
  <si>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</si>
  <si>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</si>
  <si>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</si>
  <si>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</si>
  <si>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</si>
  <si>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</si>
  <si>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</si>
  <si>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</si>
  <si>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</si>
  <si>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</si>
  <si>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</si>
  <si>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</si>
  <si>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</si>
  <si>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</si>
  <si>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</si>
  <si>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</si>
  <si>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</si>
  <si>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</si>
  <si>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</si>
  <si>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</si>
  <si>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</si>
  <si>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</si>
  <si>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</si>
  <si>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</si>
  <si>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</si>
  <si>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</si>
  <si>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</si>
  <si>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</si>
  <si>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</si>
  <si>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</si>
  <si>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</si>
  <si>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</si>
  <si>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</si>
  <si>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</si>
  <si>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</si>
  <si>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</si>
  <si>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</si>
  <si>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</si>
  <si>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</si>
  <si>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</si>
  <si>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</si>
  <si>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</si>
  <si>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</si>
  <si>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</si>
  <si>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</si>
  <si>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</si>
  <si>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</si>
  <si>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</si>
  <si>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</si>
  <si>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</si>
  <si>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</si>
  <si>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</si>
  <si>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</si>
  <si>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</si>
  <si>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</si>
  <si>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</si>
  <si>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</si>
  <si>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</si>
  <si>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Big West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</si>
</sst>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17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16"/>
    <tableColumn id="94" xr3:uid="{811BEBA5-05F0-43E2-ACD7-30037F742D95}" name="Rating" dataDxfId="15"/>
    <tableColumn id="95" xr3:uid="{F0C178E4-4090-42AF-B2B8-45EB32788498}" name="Position" dataDxfId="14"/>
    <tableColumn id="96" xr3:uid="{D7710C5A-8FC6-4CD2-981E-D7714AC8B0B1}" name="Team" dataDxfId="13"/>
    <tableColumn id="6" xr3:uid="{EAFB4AAE-AEBB-4D04-A394-E176AD005B52}" name="College Class" dataDxfId="12"/>
    <tableColumn id="3" xr3:uid="{E66A785D-A579-46ED-8B8B-B4340A4EB120}" name="NFL Draft Pick" dataDxfId="11"/>
    <tableColumn id="4" xr3:uid="{DBC1FC4E-71D0-42F6-917D-030D8AFAD02B}" name="NFL Draft Year" dataDxfId="1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17" totalsRowShown="0" dataDxfId="24">
  <autoFilter ref="A1:F117" xr:uid="{9B6505AB-A5DD-4D95-AC4E-61525CC9AAB8}"/>
  <sortState xmlns:xlrd2="http://schemas.microsoft.com/office/spreadsheetml/2017/richdata2" ref="A2:F117">
    <sortCondition ref="C1:C117"/>
  </sortState>
  <tableColumns count="6">
    <tableColumn id="1" xr3:uid="{3C0468BE-8281-499F-8CD2-E83026C0E02C}" name="Team" dataDxfId="23"/>
    <tableColumn id="2" xr3:uid="{C53DFEC1-CC21-4EEA-97C2-F9B2DCE9ABF2}" name="State" dataDxfId="22"/>
    <tableColumn id="3" xr3:uid="{6FACB05C-1DF7-4EA6-BC93-4081674D8DA1}" name="Conference" dataDxfId="21"/>
    <tableColumn id="5" xr3:uid="{D459AB18-454B-4998-9648-6D7558734687}" name="Number Players" dataDxfId="20">
      <calculatedColumnFormula>COUNTIF(Tabela1[Team],Tabela2[[#This Row],[Team]])</calculatedColumnFormula>
    </tableColumn>
    <tableColumn id="4" xr3:uid="{A2F68200-4379-4D66-913F-BED255FCA1C0}" name="Missing Players" dataDxfId="19">
      <calculatedColumnFormula>Tabela2[[#This Row],[Number Players]]-Tabela2[[#This Row],[Total Players]]</calculatedColumnFormula>
    </tableColumn>
    <tableColumn id="6" xr3:uid="{F70948CF-6554-4CC6-82C8-A3DD133183E4}" name="Total Players" dataDxfId="18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17"/>
  <sheetViews>
    <sheetView tabSelected="1" topLeftCell="A108" workbookViewId="0">
      <selection activeCell="A118" sqref="A118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35</v>
      </c>
      <c r="B2" s="1" t="s">
        <v>169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39</v>
      </c>
      <c r="B3" s="1" t="s">
        <v>170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30</v>
      </c>
      <c r="B4" s="1" t="s">
        <v>148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34</v>
      </c>
      <c r="B5" s="1" t="s">
        <v>152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37</v>
      </c>
      <c r="B6" s="1" t="s">
        <v>171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36</v>
      </c>
      <c r="B7" s="1" t="s">
        <v>170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33</v>
      </c>
      <c r="B8" s="1" t="s">
        <v>170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32</v>
      </c>
      <c r="B9" s="1" t="s">
        <v>177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38</v>
      </c>
      <c r="B10" s="1" t="s">
        <v>170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51</v>
      </c>
      <c r="B11" s="1" t="s">
        <v>149</v>
      </c>
      <c r="C11" s="1" t="s">
        <v>19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40</v>
      </c>
      <c r="B12" s="1" t="s">
        <v>146</v>
      </c>
      <c r="C12" s="1" t="s">
        <v>19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41</v>
      </c>
      <c r="B13" s="1" t="s">
        <v>156</v>
      </c>
      <c r="C13" s="1" t="s">
        <v>19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44</v>
      </c>
      <c r="B14" s="1" t="s">
        <v>157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45</v>
      </c>
      <c r="B15" s="1" t="s">
        <v>157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43</v>
      </c>
      <c r="B16" s="1" t="s">
        <v>172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42</v>
      </c>
      <c r="B17" s="1" t="s">
        <v>173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175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50</v>
      </c>
      <c r="B19" s="1" t="s">
        <v>175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48</v>
      </c>
      <c r="B20" s="1" t="s">
        <v>149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149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49</v>
      </c>
      <c r="B22" s="1" t="s">
        <v>149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52</v>
      </c>
      <c r="B23" s="1" t="s">
        <v>167</v>
      </c>
      <c r="C23" s="1" t="s">
        <v>20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31</v>
      </c>
      <c r="B24" s="1" t="s">
        <v>148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53</v>
      </c>
      <c r="B25" s="1" t="s">
        <v>162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57</v>
      </c>
      <c r="B26" s="1" t="s">
        <v>185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55</v>
      </c>
      <c r="B27" s="1" t="s">
        <v>161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58</v>
      </c>
      <c r="B28" s="1" t="s">
        <v>162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29</v>
      </c>
      <c r="B29" s="1" t="s">
        <v>177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54</v>
      </c>
      <c r="B30" s="1" t="s">
        <v>181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68</v>
      </c>
      <c r="B31" s="1" t="s">
        <v>150</v>
      </c>
      <c r="C31" s="1" t="s">
        <v>21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69</v>
      </c>
      <c r="B32" s="1" t="s">
        <v>155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60</v>
      </c>
      <c r="B33" s="1" t="s">
        <v>156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65</v>
      </c>
      <c r="B34" s="1" t="s">
        <v>168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59</v>
      </c>
      <c r="B35" s="1" t="s">
        <v>168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66</v>
      </c>
      <c r="B36" s="1" t="s">
        <v>182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62</v>
      </c>
      <c r="B37" s="1" t="s">
        <v>150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63</v>
      </c>
      <c r="B38" s="1" t="s">
        <v>163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67</v>
      </c>
      <c r="B39" s="1" t="s">
        <v>162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64</v>
      </c>
      <c r="B40" s="1" t="s">
        <v>155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61</v>
      </c>
      <c r="B41" s="1" t="s">
        <v>179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129</v>
      </c>
      <c r="B42" s="1" t="s">
        <v>166</v>
      </c>
      <c r="C42" s="1" t="s">
        <v>186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133</v>
      </c>
      <c r="B43" s="1" t="s">
        <v>154</v>
      </c>
      <c r="C43" s="1" t="s">
        <v>186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131</v>
      </c>
      <c r="B44" s="1" t="s">
        <v>154</v>
      </c>
      <c r="C44" s="1" t="s">
        <v>186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126</v>
      </c>
      <c r="B45" s="1" t="s">
        <v>184</v>
      </c>
      <c r="C45" s="1" t="s">
        <v>186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125</v>
      </c>
      <c r="B46" s="1" t="s">
        <v>149</v>
      </c>
      <c r="C46" s="1" t="s">
        <v>186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130</v>
      </c>
      <c r="B47" s="1" t="s">
        <v>151</v>
      </c>
      <c r="C47" s="1" t="s">
        <v>186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80</v>
      </c>
      <c r="B48" s="1" t="s">
        <v>161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73</v>
      </c>
      <c r="B49" s="1" t="s">
        <v>163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79</v>
      </c>
      <c r="B50" s="1" t="s">
        <v>170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78</v>
      </c>
      <c r="B51" s="1" t="s">
        <v>149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70</v>
      </c>
      <c r="B52" s="1" t="s">
        <v>158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71</v>
      </c>
      <c r="B53" s="1" t="s">
        <v>160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72</v>
      </c>
      <c r="B54" s="1" t="s">
        <v>183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76</v>
      </c>
      <c r="B55" s="1" t="s">
        <v>159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74</v>
      </c>
      <c r="B56" s="1" t="s">
        <v>164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56</v>
      </c>
      <c r="B57" s="1" t="s">
        <v>147</v>
      </c>
      <c r="C57" s="1" t="s">
        <v>28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132</v>
      </c>
      <c r="B58" s="1" t="s">
        <v>159</v>
      </c>
      <c r="C58" s="1" t="s">
        <v>28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136</v>
      </c>
      <c r="B59" s="1" t="s">
        <v>159</v>
      </c>
      <c r="C59" s="1" t="s">
        <v>28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128</v>
      </c>
      <c r="B60" s="1" t="s">
        <v>159</v>
      </c>
      <c r="C60" s="1" t="s">
        <v>28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127</v>
      </c>
      <c r="B61" s="1" t="s">
        <v>160</v>
      </c>
      <c r="C61" s="1" t="s">
        <v>28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144</v>
      </c>
      <c r="B62" s="1" t="s">
        <v>171</v>
      </c>
      <c r="C62" s="1" t="s">
        <v>28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143</v>
      </c>
      <c r="B63" s="1" t="s">
        <v>155</v>
      </c>
      <c r="C63" s="1" t="s">
        <v>28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77</v>
      </c>
      <c r="B64" s="1" t="s">
        <v>148</v>
      </c>
      <c r="C64" s="1" t="s">
        <v>28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87</v>
      </c>
      <c r="B65" s="1" t="s">
        <v>148</v>
      </c>
      <c r="C65" s="1" t="s">
        <v>28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82</v>
      </c>
      <c r="B66" s="1" t="s">
        <v>163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93</v>
      </c>
      <c r="B67" s="1" t="s">
        <v>155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90</v>
      </c>
      <c r="B68" s="1" t="s">
        <v>163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86</v>
      </c>
      <c r="B69" s="1" t="s">
        <v>161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92</v>
      </c>
      <c r="B70" s="1" t="s">
        <v>168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91</v>
      </c>
      <c r="B71" s="1" t="s">
        <v>168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84</v>
      </c>
      <c r="B72" s="1" t="s">
        <v>163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83</v>
      </c>
      <c r="B73" s="1" t="s">
        <v>181</v>
      </c>
      <c r="C73" s="1" t="s">
        <v>23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81</v>
      </c>
      <c r="B74" s="1" t="s">
        <v>163</v>
      </c>
      <c r="C74" s="1" t="s">
        <v>23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89</v>
      </c>
      <c r="B75" s="1" t="s">
        <v>150</v>
      </c>
      <c r="C75" s="1" t="s">
        <v>23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85</v>
      </c>
      <c r="B76" s="1" t="s">
        <v>163</v>
      </c>
      <c r="C76" s="1" t="s">
        <v>23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88</v>
      </c>
      <c r="B77" s="1" t="s">
        <v>163</v>
      </c>
      <c r="C77" s="1" t="s">
        <v>23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94</v>
      </c>
      <c r="B78" s="1" t="s">
        <v>168</v>
      </c>
      <c r="C78" s="1" t="s">
        <v>23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99</v>
      </c>
      <c r="B79" s="1" t="s">
        <v>146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97</v>
      </c>
      <c r="B80" s="1" t="s">
        <v>151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100</v>
      </c>
      <c r="B81" s="1" t="s">
        <v>146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96</v>
      </c>
      <c r="B82" s="1" t="s">
        <v>184</v>
      </c>
      <c r="C82" s="1" t="s">
        <v>24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101</v>
      </c>
      <c r="B83" s="1" t="s">
        <v>145</v>
      </c>
      <c r="C83" s="1" t="s">
        <v>24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102</v>
      </c>
      <c r="B84" s="1" t="s">
        <v>174</v>
      </c>
      <c r="C84" s="1" t="s">
        <v>24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95</v>
      </c>
      <c r="B85" s="1" t="s">
        <v>151</v>
      </c>
      <c r="C85" s="1" t="s">
        <v>24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98</v>
      </c>
      <c r="B86" s="1" t="s">
        <v>180</v>
      </c>
      <c r="C86" s="1" t="s">
        <v>24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105</v>
      </c>
      <c r="B87" s="1" t="s">
        <v>165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111</v>
      </c>
      <c r="B88" s="1" t="s">
        <v>165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104</v>
      </c>
      <c r="B89" s="1" t="s">
        <v>145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108</v>
      </c>
      <c r="B90" s="1" t="s">
        <v>176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106</v>
      </c>
      <c r="B91" s="1" t="s">
        <v>176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110</v>
      </c>
      <c r="B92" s="1" t="s">
        <v>145</v>
      </c>
      <c r="C92" s="1" t="s">
        <v>25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107</v>
      </c>
      <c r="B93" s="1" t="s">
        <v>145</v>
      </c>
      <c r="C93" s="1" t="s">
        <v>25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103</v>
      </c>
      <c r="B94" s="1" t="s">
        <v>145</v>
      </c>
      <c r="C94" s="1" t="s">
        <v>25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112</v>
      </c>
      <c r="B95" s="1" t="s">
        <v>178</v>
      </c>
      <c r="C95" s="1" t="s">
        <v>25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109</v>
      </c>
      <c r="B96" s="1" t="s">
        <v>178</v>
      </c>
      <c r="C96" s="1" t="s">
        <v>25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121</v>
      </c>
      <c r="B97" s="1" t="s">
        <v>164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122</v>
      </c>
      <c r="B98" s="1" t="s">
        <v>166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119</v>
      </c>
      <c r="B99" s="1" t="s">
        <v>164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115</v>
      </c>
      <c r="B100" s="1" t="s">
        <v>148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114</v>
      </c>
      <c r="B101" s="1" t="s">
        <v>152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117</v>
      </c>
      <c r="B102" s="1" t="s">
        <v>158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120</v>
      </c>
      <c r="B103" s="1" t="s">
        <v>159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124</v>
      </c>
      <c r="B104" s="1" t="s">
        <v>183</v>
      </c>
      <c r="C104" s="1" t="s">
        <v>26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123</v>
      </c>
      <c r="B105" s="1" t="s">
        <v>183</v>
      </c>
      <c r="C105" s="1" t="s">
        <v>26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116</v>
      </c>
      <c r="B106" s="1" t="s">
        <v>169</v>
      </c>
      <c r="C106" s="1" t="s">
        <v>26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113</v>
      </c>
      <c r="B107" s="1" t="s">
        <v>160</v>
      </c>
      <c r="C107" s="1" t="s">
        <v>26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118</v>
      </c>
      <c r="B108" s="1" t="s">
        <v>160</v>
      </c>
      <c r="C108" s="1" t="s">
        <v>26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135</v>
      </c>
      <c r="B109" s="1" t="s">
        <v>145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142</v>
      </c>
      <c r="B110" s="1" t="s">
        <v>153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137</v>
      </c>
      <c r="B111" s="1" t="s">
        <v>174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140</v>
      </c>
      <c r="B112" s="1" t="s">
        <v>149</v>
      </c>
      <c r="C112" s="1" t="s">
        <v>27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141</v>
      </c>
      <c r="B113" s="1" t="s">
        <v>145</v>
      </c>
      <c r="C113" s="1" t="s">
        <v>27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139</v>
      </c>
      <c r="B114" s="1" t="s">
        <v>149</v>
      </c>
      <c r="C114" s="1" t="s">
        <v>27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75</v>
      </c>
      <c r="B115" s="1" t="s">
        <v>149</v>
      </c>
      <c r="C115" s="1" t="s">
        <v>27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138</v>
      </c>
      <c r="B116" s="1" t="s">
        <v>175</v>
      </c>
      <c r="C116" s="1" t="s">
        <v>27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134</v>
      </c>
      <c r="B117" s="1" t="s">
        <v>149</v>
      </c>
      <c r="C117" s="1" t="s">
        <v>27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9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186</v>
      </c>
      <c r="B6" s="1">
        <f>COUNTIF(Tabela2[Conference],Tabela4[[#This Row],[Conference]])</f>
        <v>6</v>
      </c>
    </row>
    <row r="7" spans="1:2" x14ac:dyDescent="0.3">
      <c r="A7" s="1" t="s">
        <v>22</v>
      </c>
      <c r="B7" s="1">
        <f>COUNTIF(Tabela2[Conference],Tabela4[[#This Row],[Conference]])</f>
        <v>9</v>
      </c>
    </row>
    <row r="8" spans="1:2" x14ac:dyDescent="0.3">
      <c r="A8" s="1" t="s">
        <v>28</v>
      </c>
      <c r="B8" s="1">
        <f>COUNTIF(Tabela2[Conference],Tabela4[[#This Row],[Conference]])</f>
        <v>9</v>
      </c>
    </row>
    <row r="9" spans="1:2" x14ac:dyDescent="0.3">
      <c r="A9" s="1" t="s">
        <v>23</v>
      </c>
      <c r="B9" s="1">
        <f>COUNTIF(Tabela2[Conference],Tabela4[[#This Row],[Conference]])</f>
        <v>13</v>
      </c>
    </row>
    <row r="10" spans="1:2" x14ac:dyDescent="0.3">
      <c r="A10" s="1" t="s">
        <v>24</v>
      </c>
      <c r="B10" s="1">
        <f>COUNTIF(Tabela2[Conference],Tabela4[[#This Row],[Conference]])</f>
        <v>8</v>
      </c>
    </row>
    <row r="11" spans="1:2" x14ac:dyDescent="0.3">
      <c r="A11" s="1" t="s">
        <v>25</v>
      </c>
      <c r="B11" s="1">
        <f>COUNTIF(Tabela2[Conference],Tabela4[[#This Row],[Conference]])</f>
        <v>10</v>
      </c>
    </row>
    <row r="12" spans="1:2" x14ac:dyDescent="0.3">
      <c r="A12" s="1" t="s">
        <v>26</v>
      </c>
      <c r="B12" s="1">
        <f>COUNTIF(Tabela2[Conference],Tabela4[[#This Row],[Conference]])</f>
        <v>12</v>
      </c>
    </row>
    <row r="13" spans="1:2" x14ac:dyDescent="0.3">
      <c r="A13" s="1" t="s">
        <v>27</v>
      </c>
      <c r="B1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2001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2002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2003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2004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2005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2026-02-14T00:06:59Z</dcterms:modified>
</cp:coreProperties>
</file>