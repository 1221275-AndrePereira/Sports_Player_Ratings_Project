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94" documentId="11_AD4DF034E34935FBC521DCD7BFD97F025BDEDD8C" xr6:coauthVersionLast="47" xr6:coauthVersionMax="47" xr10:uidLastSave="{DACBE580-606E-44D1-B4A9-ADD73FAF0AC6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2" l="1"/>
  <c r="E68" i="2" s="1"/>
  <c r="D121" i="2"/>
  <c r="E121" i="2" s="1"/>
  <c r="D124" i="2"/>
  <c r="E124" i="2" s="1"/>
  <c r="D61" i="2"/>
  <c r="E61" i="2" s="1"/>
  <c r="D125" i="2"/>
  <c r="E125" i="2" s="1"/>
  <c r="D80" i="2"/>
  <c r="E80" i="2" s="1"/>
  <c r="D127" i="2"/>
  <c r="E127" i="2" s="1"/>
  <c r="D49" i="2"/>
  <c r="E49" i="2" s="1"/>
  <c r="D50" i="2"/>
  <c r="E50" i="2" s="1"/>
  <c r="D67" i="2"/>
  <c r="E67" i="2" s="1"/>
  <c r="D65" i="2"/>
  <c r="E65" i="2" s="1"/>
  <c r="D90" i="2"/>
  <c r="E90" i="2" s="1"/>
  <c r="D55" i="2"/>
  <c r="E55" i="2" s="1"/>
  <c r="D7" i="2"/>
  <c r="E7" i="2" s="1"/>
  <c r="D58" i="2"/>
  <c r="E58" i="2" s="1"/>
  <c r="D87" i="2"/>
  <c r="E87" i="2" s="1"/>
  <c r="D86" i="2"/>
  <c r="E86" i="2" s="1"/>
  <c r="D51" i="2"/>
  <c r="E51" i="2" s="1"/>
  <c r="D85" i="2"/>
  <c r="E85" i="2" s="1"/>
  <c r="D60" i="2"/>
  <c r="E60" i="2" s="1"/>
  <c r="D83" i="2"/>
  <c r="E83" i="2" s="1"/>
  <c r="D64" i="2"/>
  <c r="E64" i="2" s="1"/>
  <c r="D92" i="2"/>
  <c r="E92" i="2" s="1"/>
  <c r="D122" i="2"/>
  <c r="E122" i="2" s="1"/>
  <c r="D120" i="2"/>
  <c r="E120" i="2" s="1"/>
  <c r="D123" i="2"/>
  <c r="E123" i="2" s="1"/>
  <c r="D53" i="2"/>
  <c r="E53" i="2" s="1"/>
  <c r="D66" i="2"/>
  <c r="E66" i="2" s="1"/>
  <c r="D126" i="2"/>
  <c r="E126" i="2" s="1"/>
  <c r="D54" i="2"/>
  <c r="E54" i="2" s="1"/>
  <c r="D113" i="2"/>
  <c r="E113" i="2" s="1"/>
  <c r="D115" i="2"/>
  <c r="E115" i="2" s="1"/>
  <c r="D107" i="2"/>
  <c r="E107" i="2" s="1"/>
  <c r="D106" i="2"/>
  <c r="E106" i="2" s="1"/>
  <c r="D112" i="2"/>
  <c r="E112" i="2" s="1"/>
  <c r="D108" i="2"/>
  <c r="E108" i="2" s="1"/>
  <c r="D119" i="2"/>
  <c r="E119" i="2" s="1"/>
  <c r="D111" i="2"/>
  <c r="E111" i="2" s="1"/>
  <c r="D116" i="2"/>
  <c r="E116" i="2" s="1"/>
  <c r="D109" i="2"/>
  <c r="E109" i="2" s="1"/>
  <c r="D110" i="2"/>
  <c r="E110" i="2" s="1"/>
  <c r="D117" i="2"/>
  <c r="E117" i="2" s="1"/>
  <c r="D104" i="2"/>
  <c r="E104" i="2" s="1"/>
  <c r="D95" i="2"/>
  <c r="E95" i="2" s="1"/>
  <c r="D100" i="2"/>
  <c r="E100" i="2" s="1"/>
  <c r="D105" i="2"/>
  <c r="E105" i="2" s="1"/>
  <c r="D98" i="2"/>
  <c r="E98" i="2" s="1"/>
  <c r="D101" i="2"/>
  <c r="E101" i="2" s="1"/>
  <c r="D99" i="2"/>
  <c r="E99" i="2" s="1"/>
  <c r="D94" i="2"/>
  <c r="E94" i="2" s="1"/>
  <c r="D96" i="2"/>
  <c r="E96" i="2" s="1"/>
  <c r="D102" i="2"/>
  <c r="E102" i="2" s="1"/>
  <c r="D91" i="2"/>
  <c r="E91" i="2" s="1"/>
  <c r="D89" i="2"/>
  <c r="E89" i="2" s="1"/>
  <c r="D84" i="2"/>
  <c r="E84" i="2" s="1"/>
  <c r="D82" i="2"/>
  <c r="E82" i="2" s="1"/>
  <c r="D93" i="2"/>
  <c r="E93" i="2" s="1"/>
  <c r="D63" i="2"/>
  <c r="E63" i="2" s="1"/>
  <c r="D88" i="2"/>
  <c r="E88" i="2" s="1"/>
  <c r="D103" i="2"/>
  <c r="E103" i="2" s="1"/>
  <c r="D81" i="2"/>
  <c r="E81" i="2" s="1"/>
  <c r="D70" i="2"/>
  <c r="E70" i="2" s="1"/>
  <c r="D73" i="2"/>
  <c r="E73" i="2" s="1"/>
  <c r="D74" i="2"/>
  <c r="E74" i="2" s="1"/>
  <c r="D71" i="2"/>
  <c r="E71" i="2" s="1"/>
  <c r="D77" i="2"/>
  <c r="E77" i="2" s="1"/>
  <c r="D79" i="2"/>
  <c r="E79" i="2" s="1"/>
  <c r="D11" i="2"/>
  <c r="E11" i="2" s="1"/>
  <c r="D72" i="2"/>
  <c r="E72" i="2" s="1"/>
  <c r="D78" i="2"/>
  <c r="E78" i="2" s="1"/>
  <c r="D75" i="2"/>
  <c r="E75" i="2" s="1"/>
  <c r="D52" i="2"/>
  <c r="E52" i="2" s="1"/>
  <c r="D69" i="2"/>
  <c r="E69" i="2" s="1"/>
  <c r="D76" i="2"/>
  <c r="E76" i="2" s="1"/>
  <c r="D62" i="2"/>
  <c r="E62" i="2" s="1"/>
  <c r="D48" i="2"/>
  <c r="E48" i="2" s="1"/>
  <c r="D4" i="2"/>
  <c r="E4" i="2" s="1"/>
  <c r="D8" i="2"/>
  <c r="E8" i="2" s="1"/>
  <c r="D57" i="2"/>
  <c r="E57" i="2" s="1"/>
  <c r="D32" i="2"/>
  <c r="E32" i="2" s="1"/>
  <c r="D59" i="2"/>
  <c r="E59" i="2" s="1"/>
  <c r="D2" i="2"/>
  <c r="E2" i="2" s="1"/>
  <c r="D56" i="2"/>
  <c r="E56" i="2" s="1"/>
  <c r="D5" i="2"/>
  <c r="E5" i="2" s="1"/>
  <c r="D17" i="2"/>
  <c r="E17" i="2" s="1"/>
  <c r="D37" i="2"/>
  <c r="E37" i="2" s="1"/>
  <c r="D36" i="2"/>
  <c r="E36" i="2" s="1"/>
  <c r="D45" i="2"/>
  <c r="E45" i="2" s="1"/>
  <c r="D41" i="2"/>
  <c r="E41" i="2" s="1"/>
  <c r="D39" i="2"/>
  <c r="E39" i="2" s="1"/>
  <c r="D46" i="2"/>
  <c r="E46" i="2" s="1"/>
  <c r="D44" i="2"/>
  <c r="E44" i="2" s="1"/>
  <c r="D43" i="2"/>
  <c r="E43" i="2" s="1"/>
  <c r="D47" i="2"/>
  <c r="E47" i="2" s="1"/>
  <c r="D38" i="2"/>
  <c r="E38" i="2" s="1"/>
  <c r="D40" i="2"/>
  <c r="E40" i="2" s="1"/>
  <c r="D10" i="2"/>
  <c r="E10" i="2" s="1"/>
  <c r="D6" i="2"/>
  <c r="E6" i="2" s="1"/>
  <c r="D3" i="2"/>
  <c r="E3" i="2" s="1"/>
  <c r="D9" i="2"/>
  <c r="E9" i="2" s="1"/>
  <c r="D35" i="2"/>
  <c r="E35" i="2" s="1"/>
  <c r="D22" i="2"/>
  <c r="E22" i="2" s="1"/>
  <c r="D12" i="2"/>
  <c r="E12" i="2" s="1"/>
  <c r="D26" i="2"/>
  <c r="E26" i="2" s="1"/>
  <c r="D31" i="2"/>
  <c r="E31" i="2" s="1"/>
  <c r="D34" i="2"/>
  <c r="E34" i="2" s="1"/>
  <c r="D118" i="2"/>
  <c r="E118" i="2" s="1"/>
  <c r="D33" i="2"/>
  <c r="E33" i="2" s="1"/>
  <c r="D30" i="2"/>
  <c r="E30" i="2" s="1"/>
  <c r="D29" i="2"/>
  <c r="E29" i="2" s="1"/>
  <c r="D28" i="2"/>
  <c r="E28" i="2" s="1"/>
  <c r="D114" i="2"/>
  <c r="E114" i="2" s="1"/>
  <c r="D42" i="2"/>
  <c r="E42" i="2" s="1"/>
  <c r="D27" i="2"/>
  <c r="E27" i="2" s="1"/>
  <c r="D97" i="2"/>
  <c r="E97" i="2" s="1"/>
  <c r="D14" i="2"/>
  <c r="E14" i="2" s="1"/>
  <c r="D25" i="2"/>
  <c r="E25" i="2" s="1"/>
  <c r="D18" i="2"/>
  <c r="E18" i="2" s="1"/>
  <c r="D20" i="2"/>
  <c r="E20" i="2" s="1"/>
  <c r="D13" i="2"/>
  <c r="E13" i="2" s="1"/>
  <c r="D16" i="2"/>
  <c r="E16" i="2" s="1"/>
  <c r="D21" i="2"/>
  <c r="E21" i="2" s="1"/>
  <c r="D23" i="2"/>
  <c r="E23" i="2" s="1"/>
  <c r="D19" i="2"/>
  <c r="E19" i="2" s="1"/>
  <c r="D15" i="2"/>
  <c r="E15" i="2" s="1"/>
  <c r="B7" i="6"/>
  <c r="B12" i="6"/>
  <c r="B11" i="6"/>
  <c r="B10" i="6"/>
  <c r="B9" i="6"/>
  <c r="B8" i="6"/>
  <c r="B6" i="6"/>
  <c r="B5" i="6"/>
  <c r="B4" i="6"/>
  <c r="B3" i="6"/>
  <c r="B2" i="6"/>
  <c r="D24" i="2"/>
  <c r="E24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<sst xmlns="http://schemas.openxmlformats.org/spreadsheetml/2006/main" count="410" uniqueCount="196">
  <si>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</si>
  <si>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</si>
  <si>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</si>
  <si>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</si>
  <si>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</si>
  <si>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</si>
  <si>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</si>
  <si>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</si>
  <si>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</si>
  <si>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</si>
  <si>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</si>
  <si>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</si>
  <si>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</si>
  <si>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</si>
  <si>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</si>
  <si>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</si>
  <si>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</si>
  <si>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</si>
  <si>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</si>
  <si>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</si>
  <si>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Ten Conference</t>
  </si>
  <si>
    <t>Conference USA</t>
  </si>
  <si>
    <t>Mid-American Conference</t>
  </si>
  <si>
    <t>Mountain West Conference</t>
  </si>
  <si>
    <t>Southeastern Conference</t>
  </si>
  <si>
    <t>Sun Belt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</si>
  <si>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</si>
  <si>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</si>
  <si>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</si>
  <si>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</si>
  <si>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</si>
  <si>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</si>
  <si>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</si>
  <si>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</si>
  <si>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</si>
  <si>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</si>
  <si>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</si>
  <si>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</si>
  <si>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</si>
  <si>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</si>
  <si>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</si>
  <si>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</si>
  <si>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</si>
  <si>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</si>
  <si>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</si>
  <si>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</si>
  <si>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</si>
  <si>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</si>
  <si>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</si>
  <si>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</si>
  <si>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</si>
  <si>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</si>
  <si>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</si>
  <si>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</si>
  <si>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</si>
  <si>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</si>
  <si>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</si>
  <si>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</si>
  <si>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</si>
  <si>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</si>
  <si>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</si>
  <si>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</si>
  <si>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</si>
  <si>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</si>
  <si>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</si>
  <si>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</si>
  <si>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</si>
  <si>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</si>
  <si>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</si>
  <si>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</si>
  <si>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</si>
  <si>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</si>
  <si>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</si>
  <si>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</si>
  <si>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</si>
  <si>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</si>
  <si>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</si>
  <si>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</si>
  <si>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</si>
  <si>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</si>
  <si>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</si>
  <si>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</si>
  <si>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</si>
  <si>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</si>
  <si>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</si>
  <si>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</si>
  <si>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</si>
  <si>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</si>
  <si>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</si>
  <si>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</si>
  <si>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</si>
  <si>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</si>
  <si>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</si>
  <si>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</si>
  <si>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</si>
  <si>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</si>
  <si>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</si>
  <si>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</si>
  <si>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</si>
  <si>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</si>
  <si>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</si>
  <si>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</si>
  <si>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</si>
  <si>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</si>
  <si>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</si>
  <si>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</si>
  <si>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</si>
  <si>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</si>
  <si>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</si>
  <si>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</si>
  <si>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</si>
  <si>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</si>
  <si>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</si>
  <si>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</si>
  <si>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</si>
  <si>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</si>
  <si>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</si>
  <si>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</si>
  <si>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</si>
  <si>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</si>
  <si>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</si>
  <si>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</si>
  <si>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</si>
  <si>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</si>
  <si>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</si>
  <si>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</si>
  <si>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</si>
  <si>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</si>
  <si>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</si>
  <si>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</si>
  <si>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</si>
  <si>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</si>
  <si>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</si>
  <si>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</si>
  <si>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</si>
  <si>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</si>
  <si>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</si>
  <si>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</si>
  <si>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</si>
  <si>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</si>
  <si>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</si>
  <si>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</si>
  <si>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</si>
  <si>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</si>
  <si>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</si>
  <si>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</si>
  <si>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</si>
  <si>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</si>
  <si>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</si>
  <si>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</si>
  <si>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</si>
  <si>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</si>
  <si>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</si>
  <si>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</si>
  <si>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</si>
  <si>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</si>
  <si>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</si>
  <si>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</si>
  <si>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</si>
  <si>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</si>
  <si>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</si>
  <si>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</si>
  <si>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</si>
  <si>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</si>
  <si>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</si>
  <si>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</si>
  <si>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</si>
  <si>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</si>
  <si>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</si>
  <si>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</si>
  <si>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</si>
  <si>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</si>
  <si>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</si>
  <si>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</si>
  <si>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</si>
  <si>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</si>
  <si>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</si>
  <si>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</si>
  <si>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</si>
  <si>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</si>
  <si>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</si>
  <si>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</si>
  <si>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</si>
  <si>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</si>
  <si>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</si>
  <si>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</si>
  <si>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</si>
  <si>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</si>
  <si>
    <t>Pac-12 Conference</t>
  </si>
  <si>
    <t>UMass Minutemen</t>
  </si>
  <si>
    <t>Texas State Bobcats</t>
  </si>
  <si>
    <t>UTSA Roadrunners</t>
  </si>
  <si>
    <t>South Alabama Jaguars</t>
  </si>
  <si>
    <t>Georgia State Panthers</t>
  </si>
  <si>
    <t>Old Dominion Monarchs</t>
  </si>
  <si>
    <t>American Athletic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</si>
</sst>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7" totalsRowShown="0" dataDxfId="16">
  <autoFilter ref="A1:F127" xr:uid="{9B6505AB-A5DD-4D95-AC4E-61525CC9AAB8}"/>
  <sortState xmlns:xlrd2="http://schemas.microsoft.com/office/spreadsheetml/2017/richdata2" ref="A2:F127">
    <sortCondition ref="C1:C127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2" totalsRowShown="0" dataDxfId="9">
  <autoFilter ref="A1:B12" xr:uid="{B3F1576C-CDF4-4027-B74D-1A9ACEDDF346}"/>
  <sortState xmlns:xlrd2="http://schemas.microsoft.com/office/spreadsheetml/2017/richdata2" ref="A2:B12">
    <sortCondition ref="A1:A12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7"/>
  <sheetViews>
    <sheetView tabSelected="1" topLeftCell="A118" workbookViewId="0">
      <selection activeCell="B128" sqref="B128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71</v>
      </c>
      <c r="B2" s="1" t="s">
        <v>164</v>
      </c>
      <c r="C2" s="1" t="s">
        <v>195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54</v>
      </c>
      <c r="B3" s="1" t="s">
        <v>148</v>
      </c>
      <c r="C3" s="1" t="s">
        <v>195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76</v>
      </c>
      <c r="B4" s="1" t="s">
        <v>150</v>
      </c>
      <c r="C4" s="1" t="s">
        <v>195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69</v>
      </c>
      <c r="B5" s="1" t="s">
        <v>161</v>
      </c>
      <c r="C5" s="1" t="s">
        <v>195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55</v>
      </c>
      <c r="B6" s="1" t="s">
        <v>186</v>
      </c>
      <c r="C6" s="1" t="s">
        <v>195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138</v>
      </c>
      <c r="B7" s="1" t="s">
        <v>150</v>
      </c>
      <c r="C7" s="1" t="s">
        <v>195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75</v>
      </c>
      <c r="B8" s="1" t="s">
        <v>149</v>
      </c>
      <c r="C8" s="1" t="s">
        <v>195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53</v>
      </c>
      <c r="B9" s="1" t="s">
        <v>162</v>
      </c>
      <c r="C9" s="1" t="s">
        <v>195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56</v>
      </c>
      <c r="B10" s="1" t="s">
        <v>163</v>
      </c>
      <c r="C10" s="1" t="s">
        <v>195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85</v>
      </c>
      <c r="B11" s="1" t="s">
        <v>149</v>
      </c>
      <c r="C11" s="1" t="s">
        <v>195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50</v>
      </c>
      <c r="B12" s="1" t="s">
        <v>168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33</v>
      </c>
      <c r="B13" s="1" t="s">
        <v>170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37</v>
      </c>
      <c r="B14" s="1" t="s">
        <v>171</v>
      </c>
      <c r="C14" s="1" t="s">
        <v>18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28</v>
      </c>
      <c r="B15" s="1" t="s">
        <v>149</v>
      </c>
      <c r="C15" s="1" t="s">
        <v>18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32</v>
      </c>
      <c r="B16" s="1" t="s">
        <v>153</v>
      </c>
      <c r="C16" s="1" t="s">
        <v>18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68</v>
      </c>
      <c r="B17" s="1" t="s">
        <v>159</v>
      </c>
      <c r="C17" s="1" t="s">
        <v>18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35</v>
      </c>
      <c r="B18" s="1" t="s">
        <v>172</v>
      </c>
      <c r="C18" s="1" t="s">
        <v>18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29</v>
      </c>
      <c r="B19" s="1" t="s">
        <v>149</v>
      </c>
      <c r="C19" s="1" t="s">
        <v>18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34</v>
      </c>
      <c r="B20" s="1" t="s">
        <v>171</v>
      </c>
      <c r="C20" s="1" t="s">
        <v>18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31</v>
      </c>
      <c r="B21" s="1" t="s">
        <v>171</v>
      </c>
      <c r="C21" s="1" t="s">
        <v>18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51</v>
      </c>
      <c r="B22" s="1" t="s">
        <v>163</v>
      </c>
      <c r="C22" s="1" t="s">
        <v>18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30</v>
      </c>
      <c r="B23" s="1" t="s">
        <v>178</v>
      </c>
      <c r="C23" s="1" t="s">
        <v>18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27</v>
      </c>
      <c r="B24" s="1" t="s">
        <v>178</v>
      </c>
      <c r="C24" s="1" t="s">
        <v>18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36</v>
      </c>
      <c r="B25" s="1" t="s">
        <v>171</v>
      </c>
      <c r="C25" s="1" t="s">
        <v>18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49</v>
      </c>
      <c r="B26" s="1" t="s">
        <v>150</v>
      </c>
      <c r="C26" s="1" t="s">
        <v>19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39</v>
      </c>
      <c r="B27" s="1" t="s">
        <v>157</v>
      </c>
      <c r="C27" s="1" t="s">
        <v>19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42</v>
      </c>
      <c r="B28" s="1" t="s">
        <v>158</v>
      </c>
      <c r="C28" s="1" t="s">
        <v>19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43</v>
      </c>
      <c r="B29" s="1" t="s">
        <v>158</v>
      </c>
      <c r="C29" s="1" t="s">
        <v>19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44</v>
      </c>
      <c r="B30" s="1" t="s">
        <v>176</v>
      </c>
      <c r="C30" s="1" t="s">
        <v>19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48</v>
      </c>
      <c r="B31" s="1" t="s">
        <v>176</v>
      </c>
      <c r="C31" s="1" t="s">
        <v>19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73</v>
      </c>
      <c r="B32" s="1" t="s">
        <v>150</v>
      </c>
      <c r="C32" s="1" t="s">
        <v>19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45</v>
      </c>
      <c r="B33" s="1" t="s">
        <v>150</v>
      </c>
      <c r="C33" s="1" t="s">
        <v>19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47</v>
      </c>
      <c r="B34" s="1" t="s">
        <v>150</v>
      </c>
      <c r="C34" s="1" t="s">
        <v>19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52</v>
      </c>
      <c r="B35" s="1" t="s">
        <v>182</v>
      </c>
      <c r="C35" s="1" t="s">
        <v>19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66</v>
      </c>
      <c r="B36" s="1" t="s">
        <v>151</v>
      </c>
      <c r="C36" s="1" t="s">
        <v>20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67</v>
      </c>
      <c r="B37" s="1" t="s">
        <v>156</v>
      </c>
      <c r="C37" s="1" t="s">
        <v>20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58</v>
      </c>
      <c r="B38" s="1" t="s">
        <v>157</v>
      </c>
      <c r="C38" s="1" t="s">
        <v>20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63</v>
      </c>
      <c r="B39" s="1" t="s">
        <v>169</v>
      </c>
      <c r="C39" s="1" t="s">
        <v>20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57</v>
      </c>
      <c r="B40" s="1" t="s">
        <v>169</v>
      </c>
      <c r="C40" s="1" t="s">
        <v>20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64</v>
      </c>
      <c r="B41" s="1" t="s">
        <v>183</v>
      </c>
      <c r="C41" s="1" t="s">
        <v>20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40</v>
      </c>
      <c r="B42" s="1" t="s">
        <v>174</v>
      </c>
      <c r="C42" s="1" t="s">
        <v>20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60</v>
      </c>
      <c r="B43" s="1" t="s">
        <v>151</v>
      </c>
      <c r="C43" s="1" t="s">
        <v>20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61</v>
      </c>
      <c r="B44" s="1" t="s">
        <v>164</v>
      </c>
      <c r="C44" s="1" t="s">
        <v>20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65</v>
      </c>
      <c r="B45" s="1" t="s">
        <v>163</v>
      </c>
      <c r="C45" s="1" t="s">
        <v>20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62</v>
      </c>
      <c r="B46" s="1" t="s">
        <v>156</v>
      </c>
      <c r="C46" s="1" t="s">
        <v>20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59</v>
      </c>
      <c r="B47" s="1" t="s">
        <v>180</v>
      </c>
      <c r="C47" s="1" t="s">
        <v>20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77</v>
      </c>
      <c r="B48" s="1" t="s">
        <v>171</v>
      </c>
      <c r="C48" s="1" t="s">
        <v>21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145</v>
      </c>
      <c r="B49" s="1" t="s">
        <v>149</v>
      </c>
      <c r="C49" s="1" t="s">
        <v>21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144</v>
      </c>
      <c r="B50" s="1" t="s">
        <v>149</v>
      </c>
      <c r="C50" s="1" t="s">
        <v>21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135</v>
      </c>
      <c r="B51" s="1" t="s">
        <v>160</v>
      </c>
      <c r="C51" s="1" t="s">
        <v>21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81</v>
      </c>
      <c r="B52" s="1" t="s">
        <v>182</v>
      </c>
      <c r="C52" s="1" t="s">
        <v>21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126</v>
      </c>
      <c r="B53" s="1" t="s">
        <v>161</v>
      </c>
      <c r="C53" s="1" t="s">
        <v>21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123</v>
      </c>
      <c r="B54" s="1" t="s">
        <v>150</v>
      </c>
      <c r="C54" s="1" t="s">
        <v>21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139</v>
      </c>
      <c r="B55" s="1" t="s">
        <v>150</v>
      </c>
      <c r="C55" s="1" t="s">
        <v>21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70</v>
      </c>
      <c r="B56" s="1" t="s">
        <v>184</v>
      </c>
      <c r="C56" s="1" t="s">
        <v>21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74</v>
      </c>
      <c r="B57" s="1" t="s">
        <v>160</v>
      </c>
      <c r="C57" s="1" t="s">
        <v>21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137</v>
      </c>
      <c r="B58" s="1" t="s">
        <v>176</v>
      </c>
      <c r="C58" s="1" t="s">
        <v>21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72</v>
      </c>
      <c r="B59" s="1" t="s">
        <v>165</v>
      </c>
      <c r="C59" s="1" t="s">
        <v>21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133</v>
      </c>
      <c r="B60" s="1" t="s">
        <v>150</v>
      </c>
      <c r="C60" s="1" t="s">
        <v>21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191</v>
      </c>
      <c r="B61" s="1" t="s">
        <v>150</v>
      </c>
      <c r="C61" s="1" t="s">
        <v>21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78</v>
      </c>
      <c r="B62" s="1" t="s">
        <v>162</v>
      </c>
      <c r="C62" s="1" t="s">
        <v>26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95</v>
      </c>
      <c r="B63" s="1" t="s">
        <v>152</v>
      </c>
      <c r="C63" s="1" t="s">
        <v>26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130</v>
      </c>
      <c r="B64" s="1" t="s">
        <v>155</v>
      </c>
      <c r="C64" s="1" t="s">
        <v>26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143</v>
      </c>
      <c r="B65" s="1" t="s">
        <v>172</v>
      </c>
      <c r="C65" s="1" t="s">
        <v>26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125</v>
      </c>
      <c r="B66" s="1" t="s">
        <v>185</v>
      </c>
      <c r="C66" s="1" t="s">
        <v>26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142</v>
      </c>
      <c r="B67" s="1" t="s">
        <v>156</v>
      </c>
      <c r="C67" s="1" t="s">
        <v>26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3" t="s">
        <v>194</v>
      </c>
      <c r="B68" s="1" t="s">
        <v>178</v>
      </c>
      <c r="C68" s="1" t="s">
        <v>26</v>
      </c>
      <c r="D68" s="4">
        <f>COUNTIF(Tabela1[Team],Tabela2[[#This Row],[Team]])</f>
        <v>0</v>
      </c>
      <c r="E68" s="3">
        <f>Tabela2[[#This Row],[Number Players]]-Tabela2[[#This Row],[Total Players]]</f>
        <v>0</v>
      </c>
      <c r="F68" s="3"/>
    </row>
    <row r="69" spans="1:6" x14ac:dyDescent="0.3">
      <c r="A69" s="1" t="s">
        <v>80</v>
      </c>
      <c r="B69" s="1" t="s">
        <v>164</v>
      </c>
      <c r="C69" s="1" t="s">
        <v>22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91</v>
      </c>
      <c r="B70" s="1" t="s">
        <v>156</v>
      </c>
      <c r="C70" s="1" t="s">
        <v>22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88</v>
      </c>
      <c r="B71" s="1" t="s">
        <v>164</v>
      </c>
      <c r="C71" s="1" t="s">
        <v>22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84</v>
      </c>
      <c r="B72" s="1" t="s">
        <v>162</v>
      </c>
      <c r="C72" s="1" t="s">
        <v>22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90</v>
      </c>
      <c r="B73" s="1" t="s">
        <v>169</v>
      </c>
      <c r="C73" s="1" t="s">
        <v>22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89</v>
      </c>
      <c r="B74" s="1" t="s">
        <v>169</v>
      </c>
      <c r="C74" s="1" t="s">
        <v>22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82</v>
      </c>
      <c r="B75" s="1" t="s">
        <v>164</v>
      </c>
      <c r="C75" s="1" t="s">
        <v>22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79</v>
      </c>
      <c r="B76" s="1" t="s">
        <v>164</v>
      </c>
      <c r="C76" s="1" t="s">
        <v>22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87</v>
      </c>
      <c r="B77" s="1" t="s">
        <v>151</v>
      </c>
      <c r="C77" s="1" t="s">
        <v>22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83</v>
      </c>
      <c r="B78" s="1" t="s">
        <v>164</v>
      </c>
      <c r="C78" s="1" t="s">
        <v>22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86</v>
      </c>
      <c r="B79" s="1" t="s">
        <v>164</v>
      </c>
      <c r="C79" s="1" t="s">
        <v>22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189</v>
      </c>
      <c r="B80" s="1" t="s">
        <v>168</v>
      </c>
      <c r="C80" s="1" t="s">
        <v>22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92</v>
      </c>
      <c r="B81" s="1" t="s">
        <v>169</v>
      </c>
      <c r="C81" s="1" t="s">
        <v>22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97</v>
      </c>
      <c r="B82" s="1" t="s">
        <v>147</v>
      </c>
      <c r="C82" s="1" t="s">
        <v>23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132</v>
      </c>
      <c r="B83" s="1" t="s">
        <v>155</v>
      </c>
      <c r="C83" s="1" t="s">
        <v>23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98</v>
      </c>
      <c r="B84" s="1" t="s">
        <v>147</v>
      </c>
      <c r="C84" s="1" t="s">
        <v>23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134</v>
      </c>
      <c r="B85" s="1" t="s">
        <v>146</v>
      </c>
      <c r="C85" s="1" t="s">
        <v>23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141</v>
      </c>
      <c r="B86" s="1" t="s">
        <v>154</v>
      </c>
      <c r="C86" s="1" t="s">
        <v>23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136</v>
      </c>
      <c r="B87" s="1" t="s">
        <v>175</v>
      </c>
      <c r="C87" s="1" t="s">
        <v>23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94</v>
      </c>
      <c r="B88" s="1" t="s">
        <v>185</v>
      </c>
      <c r="C88" s="1" t="s">
        <v>23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99</v>
      </c>
      <c r="B89" s="1" t="s">
        <v>146</v>
      </c>
      <c r="C89" s="1" t="s">
        <v>23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140</v>
      </c>
      <c r="B90" s="1" t="s">
        <v>146</v>
      </c>
      <c r="C90" s="1" t="s">
        <v>23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100</v>
      </c>
      <c r="B91" s="1" t="s">
        <v>175</v>
      </c>
      <c r="C91" s="1" t="s">
        <v>23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129</v>
      </c>
      <c r="B92" s="1" t="s">
        <v>152</v>
      </c>
      <c r="C92" s="1" t="s">
        <v>23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96</v>
      </c>
      <c r="B93" s="1" t="s">
        <v>181</v>
      </c>
      <c r="C93" s="1" t="s">
        <v>23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103</v>
      </c>
      <c r="B94" s="1" t="s">
        <v>166</v>
      </c>
      <c r="C94" s="1" t="s">
        <v>188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109</v>
      </c>
      <c r="B95" s="1" t="s">
        <v>166</v>
      </c>
      <c r="C95" s="1" t="s">
        <v>188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102</v>
      </c>
      <c r="B96" s="1" t="s">
        <v>146</v>
      </c>
      <c r="C96" s="1" t="s">
        <v>188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38</v>
      </c>
      <c r="B97" s="1" t="s">
        <v>147</v>
      </c>
      <c r="C97" s="1" t="s">
        <v>188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106</v>
      </c>
      <c r="B98" s="1" t="s">
        <v>177</v>
      </c>
      <c r="C98" s="1" t="s">
        <v>188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104</v>
      </c>
      <c r="B99" s="1" t="s">
        <v>177</v>
      </c>
      <c r="C99" s="1" t="s">
        <v>188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108</v>
      </c>
      <c r="B100" s="1" t="s">
        <v>146</v>
      </c>
      <c r="C100" s="1" t="s">
        <v>188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105</v>
      </c>
      <c r="B101" s="1" t="s">
        <v>146</v>
      </c>
      <c r="C101" s="1" t="s">
        <v>188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101</v>
      </c>
      <c r="B102" s="1" t="s">
        <v>146</v>
      </c>
      <c r="C102" s="1" t="s">
        <v>188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93</v>
      </c>
      <c r="B103" s="1" t="s">
        <v>152</v>
      </c>
      <c r="C103" s="1" t="s">
        <v>188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110</v>
      </c>
      <c r="B104" s="1" t="s">
        <v>179</v>
      </c>
      <c r="C104" s="1" t="s">
        <v>188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107</v>
      </c>
      <c r="B105" s="1" t="s">
        <v>179</v>
      </c>
      <c r="C105" s="1" t="s">
        <v>188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119</v>
      </c>
      <c r="B106" s="1" t="s">
        <v>165</v>
      </c>
      <c r="C106" s="1" t="s">
        <v>24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120</v>
      </c>
      <c r="B107" s="1" t="s">
        <v>167</v>
      </c>
      <c r="C107" s="1" t="s">
        <v>24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117</v>
      </c>
      <c r="B108" s="1" t="s">
        <v>165</v>
      </c>
      <c r="C108" s="1" t="s">
        <v>24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113</v>
      </c>
      <c r="B109" s="1" t="s">
        <v>149</v>
      </c>
      <c r="C109" s="1" t="s">
        <v>24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112</v>
      </c>
      <c r="B110" s="1" t="s">
        <v>153</v>
      </c>
      <c r="C110" s="1" t="s">
        <v>24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115</v>
      </c>
      <c r="B111" s="1" t="s">
        <v>159</v>
      </c>
      <c r="C111" s="1" t="s">
        <v>24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118</v>
      </c>
      <c r="B112" s="1" t="s">
        <v>160</v>
      </c>
      <c r="C112" s="1" t="s">
        <v>24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122</v>
      </c>
      <c r="B113" s="1" t="s">
        <v>184</v>
      </c>
      <c r="C113" s="1" t="s">
        <v>24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41</v>
      </c>
      <c r="B114" s="1" t="s">
        <v>173</v>
      </c>
      <c r="C114" s="1" t="s">
        <v>24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121</v>
      </c>
      <c r="B115" s="1" t="s">
        <v>184</v>
      </c>
      <c r="C115" s="1" t="s">
        <v>24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114</v>
      </c>
      <c r="B116" s="1" t="s">
        <v>170</v>
      </c>
      <c r="C116" s="1" t="s">
        <v>24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111</v>
      </c>
      <c r="B117" s="1" t="s">
        <v>161</v>
      </c>
      <c r="C117" s="1" t="s">
        <v>24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46</v>
      </c>
      <c r="B118" s="1" t="s">
        <v>150</v>
      </c>
      <c r="C118" s="1" t="s">
        <v>24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116</v>
      </c>
      <c r="B119" s="1" t="s">
        <v>161</v>
      </c>
      <c r="C119" s="1" t="s">
        <v>24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128</v>
      </c>
      <c r="B120" s="1" t="s">
        <v>167</v>
      </c>
      <c r="C120" s="1" t="s">
        <v>25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3" t="s">
        <v>193</v>
      </c>
      <c r="B121" s="1" t="s">
        <v>153</v>
      </c>
      <c r="C121" s="1" t="s">
        <v>25</v>
      </c>
      <c r="D121" s="4">
        <f>COUNTIF(Tabela1[Team],Tabela2[[#This Row],[Team]])</f>
        <v>0</v>
      </c>
      <c r="E121" s="3">
        <f>Tabela2[[#This Row],[Number Players]]-Tabela2[[#This Row],[Total Players]]</f>
        <v>0</v>
      </c>
      <c r="F121" s="3"/>
    </row>
    <row r="122" spans="1:6" x14ac:dyDescent="0.3">
      <c r="A122" s="1" t="s">
        <v>131</v>
      </c>
      <c r="B122" s="1" t="s">
        <v>160</v>
      </c>
      <c r="C122" s="1" t="s">
        <v>25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127</v>
      </c>
      <c r="B123" s="1" t="s">
        <v>160</v>
      </c>
      <c r="C123" s="1" t="s">
        <v>25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3" t="s">
        <v>192</v>
      </c>
      <c r="B124" s="1" t="s">
        <v>165</v>
      </c>
      <c r="C124" s="1" t="s">
        <v>25</v>
      </c>
      <c r="D124" s="4">
        <f>COUNTIF(Tabela1[Team],Tabela2[[#This Row],[Team]])</f>
        <v>0</v>
      </c>
      <c r="E124" s="3">
        <f>Tabela2[[#This Row],[Number Players]]-Tabela2[[#This Row],[Total Players]]</f>
        <v>0</v>
      </c>
      <c r="F124" s="3"/>
    </row>
    <row r="125" spans="1:6" x14ac:dyDescent="0.3">
      <c r="A125" s="1" t="s">
        <v>190</v>
      </c>
      <c r="B125" s="1" t="s">
        <v>150</v>
      </c>
      <c r="C125" s="1" t="s">
        <v>25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124</v>
      </c>
      <c r="B126" s="1" t="s">
        <v>165</v>
      </c>
      <c r="C126" s="1" t="s">
        <v>25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187</v>
      </c>
      <c r="B127" s="1" t="s">
        <v>159</v>
      </c>
      <c r="C127" s="1" t="s">
        <v>25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2"/>
  <sheetViews>
    <sheetView workbookViewId="0">
      <selection activeCell="A13" sqref="A13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14</v>
      </c>
    </row>
    <row r="3" spans="1:2" x14ac:dyDescent="0.3">
      <c r="A3" s="1" t="s">
        <v>19</v>
      </c>
      <c r="B3" s="1">
        <f>COUNTIF(Tabela2[Conference],Tabela4[[#This Row],[Conference]])</f>
        <v>10</v>
      </c>
    </row>
    <row r="4" spans="1:2" x14ac:dyDescent="0.3">
      <c r="A4" s="1" t="s">
        <v>195</v>
      </c>
      <c r="B4" s="1">
        <f>COUNTIF(Tabela2[Conference],Tabela4[[#This Row],[Conference]])</f>
        <v>10</v>
      </c>
    </row>
    <row r="5" spans="1:2" x14ac:dyDescent="0.3">
      <c r="A5" s="1" t="s">
        <v>20</v>
      </c>
      <c r="B5" s="1">
        <f>COUNTIF(Tabela2[Conference],Tabela4[[#This Row],[Conference]])</f>
        <v>12</v>
      </c>
    </row>
    <row r="6" spans="1:2" x14ac:dyDescent="0.3">
      <c r="A6" s="1" t="s">
        <v>21</v>
      </c>
      <c r="B6" s="1">
        <f>COUNTIF(Tabela2[Conference],Tabela4[[#This Row],[Conference]])</f>
        <v>14</v>
      </c>
    </row>
    <row r="7" spans="1:2" x14ac:dyDescent="0.3">
      <c r="A7" s="1" t="s">
        <v>26</v>
      </c>
      <c r="B7" s="1">
        <f>COUNTIF(Tabela2[Conference],Tabela4[[#This Row],[Conference]])</f>
        <v>7</v>
      </c>
    </row>
    <row r="8" spans="1:2" x14ac:dyDescent="0.3">
      <c r="A8" s="1" t="s">
        <v>22</v>
      </c>
      <c r="B8" s="1">
        <f>COUNTIF(Tabela2[Conference],Tabela4[[#This Row],[Conference]])</f>
        <v>13</v>
      </c>
    </row>
    <row r="9" spans="1:2" x14ac:dyDescent="0.3">
      <c r="A9" s="1" t="s">
        <v>23</v>
      </c>
      <c r="B9" s="1">
        <f>COUNTIF(Tabela2[Conference],Tabela4[[#This Row],[Conference]])</f>
        <v>12</v>
      </c>
    </row>
    <row r="10" spans="1:2" x14ac:dyDescent="0.3">
      <c r="A10" s="1" t="s">
        <v>188</v>
      </c>
      <c r="B10" s="1">
        <f>COUNTIF(Tabela2[Conference],Tabela4[[#This Row],[Conference]])</f>
        <v>12</v>
      </c>
    </row>
    <row r="11" spans="1:2" x14ac:dyDescent="0.3">
      <c r="A11" s="1" t="s">
        <v>24</v>
      </c>
      <c r="B11" s="1">
        <f>COUNTIF(Tabela2[Conference],Tabela4[[#This Row],[Conference]])</f>
        <v>14</v>
      </c>
    </row>
    <row r="12" spans="1:2" x14ac:dyDescent="0.3">
      <c r="A12" s="1" t="s">
        <v>25</v>
      </c>
      <c r="B12" s="1">
        <f>COUNTIF(Tabela2[Conference],Tabela4[[#This Row],[Conference]])</f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2014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2015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2016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2017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2018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2026-01-27T18:13:40Z</dcterms:modified>
</cp:coreProperties>
</file>