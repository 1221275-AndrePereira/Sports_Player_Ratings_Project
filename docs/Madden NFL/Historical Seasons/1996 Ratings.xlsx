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Madden NFL/"/>
    </mc:Choice>
  </mc:AlternateContent>
  <xr:revisionPtr revIDLastSave="53598" documentId="11_AD4DF034E34935FBC521DCD7BFD97F025BDEDD8C" xr6:coauthVersionLast="47" xr6:coauthVersionMax="47" xr10:uidLastSave="{C9BF331F-B730-480B-8795-E693A302263D}"/>
  <bookViews>
    <workbookView xWindow="132" yWindow="1152" windowWidth="22908" windowHeight="945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<sst xmlns="http://schemas.openxmlformats.org/spreadsheetml/2006/main" count="20" uniqueCount="18">
  <si>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</si>
  <si>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</si>
  <si>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</si>
  <si>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</si>
  <si>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</si>
  <si>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</si>
  <si>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</si>
  <si>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</si>
  <si>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</si>
  <si>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</si>
  <si>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Players +90 Overall</t>
  </si>
  <si>
    <t>Players 80-89 Overall</t>
  </si>
  <si>
    <t>NCAA Team</t>
  </si>
  <si>
    <t>NCAA Career</t>
  </si>
  <si>
    <t>NCAA Team2</t>
  </si>
  <si>
    <t>NCAA Career2</t>
  </si>
  <si>
    <t>Madden NFL 25 Players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</si>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</sst>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24"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J2" insertRow="1" totalsRowShown="0" dataDxfId="23">
  <autoFilter ref="A1:J2" xr:uid="{EFE01862-7712-4B95-AB17-44312383458C}"/>
  <sortState xmlns:xlrd2="http://schemas.microsoft.com/office/spreadsheetml/2017/richdata2" ref="A2:J2">
    <sortCondition descending="1" ref="B1:B2"/>
  </sortState>
  <tableColumns count="10">
    <tableColumn id="1" xr3:uid="{45DD2C62-7C3E-42FD-99E1-1C11CC08F3BC}" name="Player" dataDxfId="22"/>
    <tableColumn id="94" xr3:uid="{811BEBA5-05F0-43E2-ACD7-30037F742D95}" name="Rating" dataDxfId="21"/>
    <tableColumn id="95" xr3:uid="{F0C178E4-4090-42AF-B2B8-45EB32788498}" name="Position" dataDxfId="20"/>
    <tableColumn id="96" xr3:uid="{D7710C5A-8FC6-4CD2-981E-D7714AC8B0B1}" name="Team" dataDxfId="19"/>
    <tableColumn id="3" xr3:uid="{E66A785D-A579-46ED-8B8B-B4340A4EB120}" name="NFL Draft Pick" dataDxfId="18"/>
    <tableColumn id="4" xr3:uid="{DBC1FC4E-71D0-42F6-917D-030D8AFAD02B}" name="NFL Draft Year" dataDxfId="17"/>
    <tableColumn id="2" xr3:uid="{73D1D595-CD9B-46DC-8CB5-D6119C0AF910}" name="NCAA Team" dataDxfId="16"/>
    <tableColumn id="5" xr3:uid="{4E5DB6BA-5982-445A-ABAD-450F0163D99A}" name="NCAA Career" dataDxfId="15"/>
    <tableColumn id="6" xr3:uid="{6901DAA1-574C-406A-B7E7-E13FCEFF001B}" name="NCAA Team2" dataDxfId="14"/>
    <tableColumn id="7" xr3:uid="{CB59A549-C870-4FA4-B418-4E1BFD3DEF22}" name="NCAA Career2" dataDxfId="1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2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1"/>
    <tableColumn id="5" xr3:uid="{D459AB18-454B-4998-9648-6D7558734687}" name="Number Players" dataDxfId="10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9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8"/>
    <tableColumn id="4" xr3:uid="{B015C1DE-0D95-4FE8-87F5-4DC8FDF5D62F}" name="Division" dataDxfId="7"/>
    <tableColumn id="2" xr3:uid="{AC4EC6EA-A39B-4F82-AC96-7CA38A56E8F2}" name="Madden NFL 25 Players" dataDxfId="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5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4"/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3" sqref="B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  <col min="5" max="5" width="14.88671875" bestFit="1" customWidth="1"/>
    <col min="6" max="6" width="15.109375" bestFit="1" customWidth="1"/>
    <col min="7" max="7" width="29" bestFit="1" customWidth="1"/>
    <col min="8" max="8" width="14" bestFit="1" customWidth="1"/>
    <col min="9" max="9" width="25.77734375" bestFit="1" customWidth="1"/>
    <col min="10" max="10" width="14.88671875" bestFit="1" customWidth="1"/>
  </cols>
  <sheetData>
    <row r="1" spans="1:10" x14ac:dyDescent="0.3">
      <c r="A1" t="s">
        <v>0</v>
      </c>
      <c r="B1" t="s">
        <v>3</v>
      </c>
      <c r="C1" t="s">
        <v>2</v>
      </c>
      <c r="D1" t="s">
        <v>7</v>
      </c>
      <c r="E1" t="s">
        <v>5</v>
      </c>
      <c r="F1" t="s">
        <v>6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7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12</v>
      </c>
      <c r="B1" t="s">
        <v>17</v>
      </c>
      <c r="C1" t="s">
        <v>16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8</v>
      </c>
      <c r="B1" t="s">
        <v>9</v>
      </c>
      <c r="C1" t="s">
        <v>4</v>
      </c>
      <c r="D1" t="s">
        <v>11</v>
      </c>
      <c r="E1" t="s">
        <v>10</v>
      </c>
    </row>
    <row r="2" spans="1:5" x14ac:dyDescent="0.3">
      <c r="A2" s="1"/>
      <c r="B2" s="1">
        <f>COUNTIFS(Tabela1[NFL Draft Year],Tabela3[[#This Row],[Draft]],Tabela1[NFL Draft Pick],"&gt;0")</f>
        <v>0</v>
      </c>
      <c r="C2" s="1">
        <f>COUNTIFS(Tabela1[NFL Draft Year],Tabela3[[#This Row],[Draft]])</f>
        <v>0</v>
      </c>
      <c r="D2" s="1">
        <f>COUNTIFS(Tabela1[NFL Draft Year],Tabela3[[#This Row],[Draft]],Tabela1[Rating],"&lt;90")-COUNTIFS(Tabela1[NFL Draft Year],Tabela3[[#This Row],[Draft]],Tabela1[Rating],"&lt;80")</f>
        <v>0</v>
      </c>
      <c r="E2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2025-11-06T15:11:05Z</dcterms:modified>
</cp:coreProperties>
</file>