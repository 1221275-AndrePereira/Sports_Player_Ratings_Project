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College Basketball/"/>
    </mc:Choice>
  </mc:AlternateContent>
  <xr:revisionPtr revIDLastSave="42929" documentId="11_AD4DF034E34935FBC521DCD7BFD97F025BDEDD8C" xr6:coauthVersionLast="47" xr6:coauthVersionMax="47" xr10:uidLastSave="{C4A333DA-9E91-42C9-B088-524732C0B827}"/>
  <bookViews>
    <workbookView xWindow="12" yWindow="264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2" l="1"/>
  <c r="E46" i="2" s="1"/>
  <c r="D43" i="2"/>
  <c r="E43" i="2" s="1"/>
  <c r="D150" i="2"/>
  <c r="E150" i="2" s="1"/>
  <c r="D148" i="2"/>
  <c r="E148" i="2" s="1"/>
  <c r="D147" i="2"/>
  <c r="E147" i="2" s="1"/>
  <c r="D146" i="2"/>
  <c r="E146" i="2" s="1"/>
  <c r="D152" i="2"/>
  <c r="E152" i="2" s="1"/>
  <c r="D153" i="2"/>
  <c r="E153" i="2" s="1"/>
  <c r="D149" i="2"/>
  <c r="E149" i="2" s="1"/>
  <c r="D44" i="2"/>
  <c r="E44" i="2" s="1"/>
  <c r="D145" i="2"/>
  <c r="E145" i="2" s="1"/>
  <c r="D154" i="2"/>
  <c r="E154" i="2" s="1"/>
  <c r="D151" i="2"/>
  <c r="E151" i="2" s="1"/>
  <c r="D185" i="2"/>
  <c r="E185" i="2" s="1"/>
  <c r="D84" i="2"/>
  <c r="E84" i="2" s="1"/>
  <c r="D135" i="2"/>
  <c r="E135" i="2" s="1"/>
  <c r="D334" i="2"/>
  <c r="E334" i="2" s="1"/>
  <c r="D327" i="2"/>
  <c r="E327" i="2" s="1"/>
  <c r="D331" i="2"/>
  <c r="E331" i="2" s="1"/>
  <c r="D329" i="2"/>
  <c r="E329" i="2" s="1"/>
  <c r="D128" i="2"/>
  <c r="E128" i="2" s="1"/>
  <c r="D332" i="2"/>
  <c r="E332" i="2" s="1"/>
  <c r="D129" i="2"/>
  <c r="E129" i="2" s="1"/>
  <c r="D132" i="2"/>
  <c r="E132" i="2" s="1"/>
  <c r="D328" i="2"/>
  <c r="E328" i="2" s="1"/>
  <c r="D326" i="2"/>
  <c r="E326" i="2" s="1"/>
  <c r="D320" i="2"/>
  <c r="E320" i="2" s="1"/>
  <c r="D322" i="2"/>
  <c r="E322" i="2" s="1"/>
  <c r="D323" i="2"/>
  <c r="E323" i="2" s="1"/>
  <c r="D321" i="2"/>
  <c r="E321" i="2" s="1"/>
  <c r="D325" i="2"/>
  <c r="E325" i="2" s="1"/>
  <c r="D324" i="2"/>
  <c r="E324" i="2" s="1"/>
  <c r="D319" i="2"/>
  <c r="E319" i="2" s="1"/>
  <c r="D315" i="2"/>
  <c r="E315" i="2" s="1"/>
  <c r="D309" i="2"/>
  <c r="E309" i="2" s="1"/>
  <c r="D314" i="2"/>
  <c r="E314" i="2" s="1"/>
  <c r="D316" i="2"/>
  <c r="E316" i="2" s="1"/>
  <c r="D333" i="2"/>
  <c r="E333" i="2" s="1"/>
  <c r="D312" i="2"/>
  <c r="E312" i="2" s="1"/>
  <c r="D310" i="2"/>
  <c r="E310" i="2" s="1"/>
  <c r="D308" i="2"/>
  <c r="E308" i="2" s="1"/>
  <c r="D311" i="2"/>
  <c r="E311" i="2" s="1"/>
  <c r="D313" i="2"/>
  <c r="E313" i="2" s="1"/>
  <c r="D318" i="2"/>
  <c r="E318" i="2" s="1"/>
  <c r="D301" i="2"/>
  <c r="E301" i="2" s="1"/>
  <c r="D298" i="2"/>
  <c r="E298" i="2" s="1"/>
  <c r="D306" i="2"/>
  <c r="E306" i="2" s="1"/>
  <c r="D303" i="2"/>
  <c r="E303" i="2" s="1"/>
  <c r="D302" i="2"/>
  <c r="E302" i="2" s="1"/>
  <c r="D300" i="2"/>
  <c r="E300" i="2" s="1"/>
  <c r="D299" i="2"/>
  <c r="E299" i="2" s="1"/>
  <c r="D307" i="2"/>
  <c r="E307" i="2" s="1"/>
  <c r="D304" i="2"/>
  <c r="E304" i="2" s="1"/>
  <c r="D305" i="2"/>
  <c r="E305" i="2" s="1"/>
  <c r="D290" i="2"/>
  <c r="E290" i="2" s="1"/>
  <c r="D291" i="2"/>
  <c r="E291" i="2" s="1"/>
  <c r="D297" i="2"/>
  <c r="E297" i="2" s="1"/>
  <c r="D293" i="2"/>
  <c r="E293" i="2" s="1"/>
  <c r="D288" i="2"/>
  <c r="E288" i="2" s="1"/>
  <c r="D287" i="2"/>
  <c r="E287" i="2" s="1"/>
  <c r="D289" i="2"/>
  <c r="E289" i="2" s="1"/>
  <c r="D294" i="2"/>
  <c r="E294" i="2" s="1"/>
  <c r="D296" i="2"/>
  <c r="E296" i="2" s="1"/>
  <c r="D295" i="2"/>
  <c r="E295" i="2" s="1"/>
  <c r="D292" i="2"/>
  <c r="E292" i="2" s="1"/>
  <c r="D283" i="2"/>
  <c r="E283" i="2" s="1"/>
  <c r="D281" i="2"/>
  <c r="E281" i="2" s="1"/>
  <c r="D286" i="2"/>
  <c r="E286" i="2" s="1"/>
  <c r="D282" i="2"/>
  <c r="E282" i="2" s="1"/>
  <c r="D278" i="2"/>
  <c r="E278" i="2" s="1"/>
  <c r="D277" i="2"/>
  <c r="E277" i="2" s="1"/>
  <c r="D284" i="2"/>
  <c r="E284" i="2" s="1"/>
  <c r="D91" i="2"/>
  <c r="E91" i="2" s="1"/>
  <c r="D285" i="2"/>
  <c r="E285" i="2" s="1"/>
  <c r="D276" i="2"/>
  <c r="E276" i="2" s="1"/>
  <c r="D39" i="2"/>
  <c r="E39" i="2" s="1"/>
  <c r="D279" i="2"/>
  <c r="E279" i="2" s="1"/>
  <c r="D265" i="2"/>
  <c r="E265" i="2" s="1"/>
  <c r="D272" i="2"/>
  <c r="E272" i="2" s="1"/>
  <c r="D264" i="2"/>
  <c r="E264" i="2" s="1"/>
  <c r="D270" i="2"/>
  <c r="E270" i="2" s="1"/>
  <c r="D266" i="2"/>
  <c r="E266" i="2" s="1"/>
  <c r="D271" i="2"/>
  <c r="E271" i="2" s="1"/>
  <c r="D275" i="2"/>
  <c r="E275" i="2" s="1"/>
  <c r="D273" i="2"/>
  <c r="E273" i="2" s="1"/>
  <c r="D274" i="2"/>
  <c r="E274" i="2" s="1"/>
  <c r="D268" i="2"/>
  <c r="E268" i="2" s="1"/>
  <c r="D267" i="2"/>
  <c r="E267" i="2" s="1"/>
  <c r="D269" i="2"/>
  <c r="E269" i="2" s="1"/>
  <c r="D257" i="2"/>
  <c r="E257" i="2" s="1"/>
  <c r="D263" i="2"/>
  <c r="E263" i="2" s="1"/>
  <c r="D261" i="2"/>
  <c r="E261" i="2" s="1"/>
  <c r="D258" i="2"/>
  <c r="E258" i="2" s="1"/>
  <c r="D262" i="2"/>
  <c r="E262" i="2" s="1"/>
  <c r="D259" i="2"/>
  <c r="E259" i="2" s="1"/>
  <c r="D256" i="2"/>
  <c r="E256" i="2" s="1"/>
  <c r="D260" i="2"/>
  <c r="E260" i="2" s="1"/>
  <c r="D255" i="2"/>
  <c r="E255" i="2" s="1"/>
  <c r="D254" i="2"/>
  <c r="E254" i="2" s="1"/>
  <c r="D252" i="2"/>
  <c r="E252" i="2" s="1"/>
  <c r="D253" i="2"/>
  <c r="E253" i="2" s="1"/>
  <c r="D250" i="2"/>
  <c r="E250" i="2" s="1"/>
  <c r="D249" i="2"/>
  <c r="E249" i="2" s="1"/>
  <c r="D246" i="2"/>
  <c r="E246" i="2" s="1"/>
  <c r="D248" i="2"/>
  <c r="E248" i="2" s="1"/>
  <c r="D251" i="2"/>
  <c r="E251" i="2" s="1"/>
  <c r="D247" i="2"/>
  <c r="E247" i="2" s="1"/>
  <c r="D243" i="2"/>
  <c r="E243" i="2" s="1"/>
  <c r="D237" i="2"/>
  <c r="E237" i="2" s="1"/>
  <c r="D242" i="2"/>
  <c r="E242" i="2" s="1"/>
  <c r="D245" i="2"/>
  <c r="E245" i="2" s="1"/>
  <c r="D236" i="2"/>
  <c r="E236" i="2" s="1"/>
  <c r="D240" i="2"/>
  <c r="E240" i="2" s="1"/>
  <c r="D244" i="2"/>
  <c r="E244" i="2" s="1"/>
  <c r="D239" i="2"/>
  <c r="E239" i="2" s="1"/>
  <c r="D235" i="2"/>
  <c r="E235" i="2" s="1"/>
  <c r="D9" i="2"/>
  <c r="E9" i="2" s="1"/>
  <c r="D231" i="2"/>
  <c r="E231" i="2" s="1"/>
  <c r="D228" i="2"/>
  <c r="E228" i="2" s="1"/>
  <c r="D230" i="2"/>
  <c r="E230" i="2" s="1"/>
  <c r="D226" i="2"/>
  <c r="E226" i="2" s="1"/>
  <c r="D225" i="2"/>
  <c r="E225" i="2" s="1"/>
  <c r="D233" i="2"/>
  <c r="E233" i="2" s="1"/>
  <c r="D232" i="2"/>
  <c r="E232" i="2" s="1"/>
  <c r="D229" i="2"/>
  <c r="E229" i="2" s="1"/>
  <c r="D224" i="2"/>
  <c r="E224" i="2" s="1"/>
  <c r="D227" i="2"/>
  <c r="E227" i="2" s="1"/>
  <c r="D234" i="2"/>
  <c r="E234" i="2" s="1"/>
  <c r="D215" i="2"/>
  <c r="E215" i="2" s="1"/>
  <c r="D218" i="2"/>
  <c r="E218" i="2" s="1"/>
  <c r="D217" i="2"/>
  <c r="E217" i="2" s="1"/>
  <c r="D219" i="2"/>
  <c r="E219" i="2" s="1"/>
  <c r="D221" i="2"/>
  <c r="E221" i="2" s="1"/>
  <c r="D223" i="2"/>
  <c r="E223" i="2" s="1"/>
  <c r="D216" i="2"/>
  <c r="E216" i="2" s="1"/>
  <c r="D222" i="2"/>
  <c r="E222" i="2" s="1"/>
  <c r="D210" i="2"/>
  <c r="E210" i="2" s="1"/>
  <c r="D209" i="2"/>
  <c r="E209" i="2" s="1"/>
  <c r="D207" i="2"/>
  <c r="E207" i="2" s="1"/>
  <c r="D211" i="2"/>
  <c r="E211" i="2" s="1"/>
  <c r="D205" i="2"/>
  <c r="E205" i="2" s="1"/>
  <c r="D208" i="2"/>
  <c r="E208" i="2" s="1"/>
  <c r="D213" i="2"/>
  <c r="E213" i="2" s="1"/>
  <c r="D214" i="2"/>
  <c r="E214" i="2" s="1"/>
  <c r="D206" i="2"/>
  <c r="E206" i="2" s="1"/>
  <c r="D212" i="2"/>
  <c r="E212" i="2" s="1"/>
  <c r="D203" i="2"/>
  <c r="E203" i="2" s="1"/>
  <c r="D200" i="2"/>
  <c r="E200" i="2" s="1"/>
  <c r="D194" i="2"/>
  <c r="E194" i="2" s="1"/>
  <c r="D201" i="2"/>
  <c r="E201" i="2" s="1"/>
  <c r="D199" i="2"/>
  <c r="E199" i="2" s="1"/>
  <c r="D202" i="2"/>
  <c r="E202" i="2" s="1"/>
  <c r="D195" i="2"/>
  <c r="E195" i="2" s="1"/>
  <c r="D197" i="2"/>
  <c r="E197" i="2" s="1"/>
  <c r="D196" i="2"/>
  <c r="E196" i="2" s="1"/>
  <c r="D198" i="2"/>
  <c r="E198" i="2" s="1"/>
  <c r="D204" i="2"/>
  <c r="E204" i="2" s="1"/>
  <c r="D186" i="2"/>
  <c r="E186" i="2" s="1"/>
  <c r="D193" i="2"/>
  <c r="E193" i="2" s="1"/>
  <c r="D191" i="2"/>
  <c r="E191" i="2" s="1"/>
  <c r="D188" i="2"/>
  <c r="E188" i="2" s="1"/>
  <c r="D190" i="2"/>
  <c r="E190" i="2" s="1"/>
  <c r="D189" i="2"/>
  <c r="E189" i="2" s="1"/>
  <c r="D187" i="2"/>
  <c r="E187" i="2" s="1"/>
  <c r="D192" i="2"/>
  <c r="E192" i="2" s="1"/>
  <c r="D183" i="2"/>
  <c r="E183" i="2" s="1"/>
  <c r="D174" i="2"/>
  <c r="E174" i="2" s="1"/>
  <c r="D175" i="2"/>
  <c r="E175" i="2" s="1"/>
  <c r="D178" i="2"/>
  <c r="E178" i="2" s="1"/>
  <c r="D184" i="2"/>
  <c r="E184" i="2" s="1"/>
  <c r="D181" i="2"/>
  <c r="E181" i="2" s="1"/>
  <c r="D177" i="2"/>
  <c r="E177" i="2" s="1"/>
  <c r="D176" i="2"/>
  <c r="E176" i="2" s="1"/>
  <c r="D182" i="2"/>
  <c r="E182" i="2" s="1"/>
  <c r="D126" i="2"/>
  <c r="E126" i="2" s="1"/>
  <c r="D173" i="2"/>
  <c r="E173" i="2" s="1"/>
  <c r="D180" i="2"/>
  <c r="E180" i="2" s="1"/>
  <c r="D179" i="2"/>
  <c r="E179" i="2" s="1"/>
  <c r="D166" i="2"/>
  <c r="E166" i="2" s="1"/>
  <c r="D163" i="2"/>
  <c r="E163" i="2" s="1"/>
  <c r="D171" i="2"/>
  <c r="E171" i="2" s="1"/>
  <c r="D170" i="2"/>
  <c r="E170" i="2" s="1"/>
  <c r="D168" i="2"/>
  <c r="E168" i="2" s="1"/>
  <c r="D165" i="2"/>
  <c r="E165" i="2" s="1"/>
  <c r="D169" i="2"/>
  <c r="E169" i="2" s="1"/>
  <c r="D172" i="2"/>
  <c r="E172" i="2" s="1"/>
  <c r="D164" i="2"/>
  <c r="E164" i="2" s="1"/>
  <c r="D167" i="2"/>
  <c r="E167" i="2" s="1"/>
  <c r="D156" i="2"/>
  <c r="E156" i="2" s="1"/>
  <c r="D158" i="2"/>
  <c r="E158" i="2" s="1"/>
  <c r="D157" i="2"/>
  <c r="E157" i="2" s="1"/>
  <c r="D159" i="2"/>
  <c r="E159" i="2" s="1"/>
  <c r="D162" i="2"/>
  <c r="E162" i="2" s="1"/>
  <c r="D161" i="2"/>
  <c r="E161" i="2" s="1"/>
  <c r="D155" i="2"/>
  <c r="E155" i="2" s="1"/>
  <c r="D160" i="2"/>
  <c r="E160" i="2" s="1"/>
  <c r="D137" i="2"/>
  <c r="E137" i="2" s="1"/>
  <c r="D143" i="2"/>
  <c r="E143" i="2" s="1"/>
  <c r="D144" i="2"/>
  <c r="E144" i="2" s="1"/>
  <c r="D139" i="2"/>
  <c r="E139" i="2" s="1"/>
  <c r="D138" i="2"/>
  <c r="E138" i="2" s="1"/>
  <c r="D140" i="2"/>
  <c r="E140" i="2" s="1"/>
  <c r="D142" i="2"/>
  <c r="E142" i="2" s="1"/>
  <c r="D141" i="2"/>
  <c r="E141" i="2" s="1"/>
  <c r="D136" i="2"/>
  <c r="E136" i="2" s="1"/>
  <c r="D220" i="2"/>
  <c r="E220" i="2" s="1"/>
  <c r="D130" i="2"/>
  <c r="E130" i="2" s="1"/>
  <c r="D125" i="2"/>
  <c r="E125" i="2" s="1"/>
  <c r="D71" i="2"/>
  <c r="E71" i="2" s="1"/>
  <c r="D131" i="2"/>
  <c r="E131" i="2" s="1"/>
  <c r="D133" i="2"/>
  <c r="E133" i="2" s="1"/>
  <c r="D127" i="2"/>
  <c r="E127" i="2" s="1"/>
  <c r="D124" i="2"/>
  <c r="E124" i="2" s="1"/>
  <c r="D11" i="2"/>
  <c r="E11" i="2" s="1"/>
  <c r="D62" i="2"/>
  <c r="E62" i="2" s="1"/>
  <c r="D20" i="2"/>
  <c r="E20" i="2" s="1"/>
  <c r="D60" i="2"/>
  <c r="E60" i="2" s="1"/>
  <c r="D64" i="2"/>
  <c r="E64" i="2" s="1"/>
  <c r="D65" i="2"/>
  <c r="E65" i="2" s="1"/>
  <c r="D120" i="2"/>
  <c r="E120" i="2" s="1"/>
  <c r="D116" i="2"/>
  <c r="E116" i="2" s="1"/>
  <c r="D123" i="2"/>
  <c r="E123" i="2" s="1"/>
  <c r="D117" i="2"/>
  <c r="E117" i="2" s="1"/>
  <c r="D119" i="2"/>
  <c r="E119" i="2" s="1"/>
  <c r="D112" i="2"/>
  <c r="E112" i="2" s="1"/>
  <c r="D114" i="2"/>
  <c r="E114" i="2" s="1"/>
  <c r="D113" i="2"/>
  <c r="E113" i="2" s="1"/>
  <c r="D122" i="2"/>
  <c r="E122" i="2" s="1"/>
  <c r="D121" i="2"/>
  <c r="E121" i="2" s="1"/>
  <c r="D107" i="2"/>
  <c r="E107" i="2" s="1"/>
  <c r="D110" i="2"/>
  <c r="E110" i="2" s="1"/>
  <c r="D108" i="2"/>
  <c r="E108" i="2" s="1"/>
  <c r="D106" i="2"/>
  <c r="E106" i="2" s="1"/>
  <c r="D105" i="2"/>
  <c r="E105" i="2" s="1"/>
  <c r="D330" i="2"/>
  <c r="E330" i="2" s="1"/>
  <c r="D104" i="2"/>
  <c r="E104" i="2" s="1"/>
  <c r="D335" i="2"/>
  <c r="E335" i="2" s="1"/>
  <c r="D109" i="2"/>
  <c r="E109" i="2" s="1"/>
  <c r="D111" i="2"/>
  <c r="E111" i="2" s="1"/>
  <c r="D101" i="2"/>
  <c r="E101" i="2" s="1"/>
  <c r="D99" i="2"/>
  <c r="E99" i="2" s="1"/>
  <c r="D100" i="2"/>
  <c r="E100" i="2" s="1"/>
  <c r="D95" i="2"/>
  <c r="E95" i="2" s="1"/>
  <c r="D98" i="2"/>
  <c r="E98" i="2" s="1"/>
  <c r="D94" i="2"/>
  <c r="E94" i="2" s="1"/>
  <c r="D97" i="2"/>
  <c r="E97" i="2" s="1"/>
  <c r="D96" i="2"/>
  <c r="E96" i="2" s="1"/>
  <c r="D102" i="2"/>
  <c r="E102" i="2" s="1"/>
  <c r="D93" i="2"/>
  <c r="E93" i="2" s="1"/>
  <c r="D103" i="2"/>
  <c r="E103" i="2" s="1"/>
  <c r="D87" i="2"/>
  <c r="E87" i="2" s="1"/>
  <c r="D86" i="2"/>
  <c r="E86" i="2" s="1"/>
  <c r="D89" i="2"/>
  <c r="E89" i="2" s="1"/>
  <c r="D90" i="2"/>
  <c r="E90" i="2" s="1"/>
  <c r="D280" i="2"/>
  <c r="E280" i="2" s="1"/>
  <c r="D88" i="2"/>
  <c r="E88" i="2" s="1"/>
  <c r="D85" i="2"/>
  <c r="E85" i="2" s="1"/>
  <c r="D92" i="2"/>
  <c r="E92" i="2" s="1"/>
  <c r="D81" i="2"/>
  <c r="E81" i="2" s="1"/>
  <c r="D79" i="2"/>
  <c r="E79" i="2" s="1"/>
  <c r="D82" i="2"/>
  <c r="E82" i="2" s="1"/>
  <c r="D80" i="2"/>
  <c r="E80" i="2" s="1"/>
  <c r="D78" i="2"/>
  <c r="E78" i="2" s="1"/>
  <c r="D77" i="2"/>
  <c r="E77" i="2" s="1"/>
  <c r="D76" i="2"/>
  <c r="E76" i="2" s="1"/>
  <c r="D83" i="2"/>
  <c r="E83" i="2" s="1"/>
  <c r="D69" i="2"/>
  <c r="E69" i="2" s="1"/>
  <c r="D75" i="2"/>
  <c r="E75" i="2" s="1"/>
  <c r="D63" i="2"/>
  <c r="E63" i="2" s="1"/>
  <c r="D66" i="2"/>
  <c r="E66" i="2" s="1"/>
  <c r="D70" i="2"/>
  <c r="E70" i="2" s="1"/>
  <c r="D67" i="2"/>
  <c r="E67" i="2" s="1"/>
  <c r="D73" i="2"/>
  <c r="E73" i="2" s="1"/>
  <c r="D35" i="2"/>
  <c r="E35" i="2" s="1"/>
  <c r="D31" i="2"/>
  <c r="E31" i="2" s="1"/>
  <c r="D72" i="2"/>
  <c r="E72" i="2" s="1"/>
  <c r="D74" i="2"/>
  <c r="E74" i="2" s="1"/>
  <c r="D68" i="2"/>
  <c r="E68" i="2" s="1"/>
  <c r="D61" i="2"/>
  <c r="E61" i="2" s="1"/>
  <c r="D25" i="2"/>
  <c r="E25" i="2" s="1"/>
  <c r="D54" i="2"/>
  <c r="E54" i="2" s="1"/>
  <c r="D52" i="2"/>
  <c r="E52" i="2" s="1"/>
  <c r="D48" i="2"/>
  <c r="E48" i="2" s="1"/>
  <c r="D50" i="2"/>
  <c r="E50" i="2" s="1"/>
  <c r="D57" i="2"/>
  <c r="E57" i="2" s="1"/>
  <c r="D59" i="2"/>
  <c r="E59" i="2" s="1"/>
  <c r="D49" i="2"/>
  <c r="E49" i="2" s="1"/>
  <c r="D53" i="2"/>
  <c r="E53" i="2" s="1"/>
  <c r="D56" i="2"/>
  <c r="E56" i="2" s="1"/>
  <c r="D55" i="2"/>
  <c r="E55" i="2" s="1"/>
  <c r="D58" i="2"/>
  <c r="E58" i="2" s="1"/>
  <c r="D51" i="2"/>
  <c r="E51" i="2" s="1"/>
  <c r="D40" i="2"/>
  <c r="E40" i="2" s="1"/>
  <c r="D47" i="2"/>
  <c r="E47" i="2" s="1"/>
  <c r="D42" i="2"/>
  <c r="E42" i="2" s="1"/>
  <c r="D134" i="2"/>
  <c r="E134" i="2" s="1"/>
  <c r="D45" i="2"/>
  <c r="E45" i="2" s="1"/>
  <c r="D317" i="2"/>
  <c r="E317" i="2" s="1"/>
  <c r="D38" i="2"/>
  <c r="E38" i="2" s="1"/>
  <c r="D41" i="2"/>
  <c r="E41" i="2" s="1"/>
  <c r="D115" i="2"/>
  <c r="E115" i="2" s="1"/>
  <c r="D241" i="2"/>
  <c r="E241" i="2" s="1"/>
  <c r="D238" i="2"/>
  <c r="E238" i="2" s="1"/>
  <c r="D37" i="2"/>
  <c r="E37" i="2" s="1"/>
  <c r="D13" i="2"/>
  <c r="E13" i="2" s="1"/>
  <c r="D15" i="2"/>
  <c r="E15" i="2" s="1"/>
  <c r="D16" i="2"/>
  <c r="E16" i="2" s="1"/>
  <c r="D18" i="2"/>
  <c r="E18" i="2" s="1"/>
  <c r="D12" i="2"/>
  <c r="E12" i="2" s="1"/>
  <c r="D24" i="2"/>
  <c r="E24" i="2" s="1"/>
  <c r="D21" i="2"/>
  <c r="E21" i="2" s="1"/>
  <c r="D14" i="2"/>
  <c r="E14" i="2" s="1"/>
  <c r="D23" i="2"/>
  <c r="E23" i="2" s="1"/>
  <c r="D22" i="2"/>
  <c r="E22" i="2" s="1"/>
  <c r="D17" i="2"/>
  <c r="E17" i="2" s="1"/>
  <c r="D19" i="2"/>
  <c r="E19" i="2" s="1"/>
  <c r="D28" i="2"/>
  <c r="E28" i="2" s="1"/>
  <c r="D26" i="2"/>
  <c r="E26" i="2" s="1"/>
  <c r="D33" i="2"/>
  <c r="E33" i="2" s="1"/>
  <c r="D34" i="2"/>
  <c r="E34" i="2" s="1"/>
  <c r="D29" i="2"/>
  <c r="E29" i="2" s="1"/>
  <c r="D32" i="2"/>
  <c r="E32" i="2" s="1"/>
  <c r="D27" i="2"/>
  <c r="E27" i="2" s="1"/>
  <c r="D30" i="2"/>
  <c r="E30" i="2" s="1"/>
  <c r="D36" i="2"/>
  <c r="E36" i="2" s="1"/>
  <c r="D7" i="2"/>
  <c r="E7" i="2" s="1"/>
  <c r="D2" i="2"/>
  <c r="E2" i="2" s="1"/>
  <c r="D8" i="2"/>
  <c r="E8" i="2" s="1"/>
  <c r="D118" i="2"/>
  <c r="E118" i="2" s="1"/>
  <c r="D6" i="2"/>
  <c r="E6" i="2" s="1"/>
  <c r="D3" i="2"/>
  <c r="E3" i="2" s="1"/>
  <c r="D5" i="2"/>
  <c r="E5" i="2" s="1"/>
  <c r="D10" i="2"/>
  <c r="E10" i="2" s="1"/>
  <c r="B15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4" i="6"/>
  <c r="B13" i="6"/>
  <c r="B12" i="6"/>
  <c r="B11" i="6"/>
  <c r="B10" i="6"/>
  <c r="B9" i="6"/>
  <c r="B8" i="6"/>
  <c r="B7" i="6"/>
  <c r="B6" i="6"/>
  <c r="B5" i="6"/>
  <c r="B3" i="6"/>
  <c r="B4" i="6"/>
  <c r="D4" i="2"/>
  <c r="E4" i="2" s="1"/>
  <c r="B2" i="6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<sst xmlns="http://schemas.openxmlformats.org/spreadsheetml/2006/main" count="1055" uniqueCount="434">
  <si>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</si>
  <si>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</si>
  <si>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</si>
  <si>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</si>
  <si>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</si>
  <si>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</si>
  <si>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</si>
  <si>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</si>
  <si>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</si>
  <si>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</si>
  <si>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</si>
  <si>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</si>
  <si>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</si>
  <si>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</si>
  <si>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</si>
  <si>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</si>
  <si>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</si>
  <si>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</si>
  <si>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</si>
  <si>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</si>
  <si>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</si>
  <si>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</si>
  <si>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</si>
  <si>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</si>
  <si>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</si>
  <si>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</si>
  <si>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</si>
  <si>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</si>
  <si>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</si>
  <si>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</si>
  <si>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</si>
  <si>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</si>
  <si>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</si>
  <si>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</si>
  <si>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</si>
  <si>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</si>
  <si>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</si>
  <si>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</si>
  <si>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</si>
  <si>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</si>
  <si>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</si>
  <si>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</si>
  <si>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</si>
  <si>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</si>
  <si>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</si>
  <si>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</si>
  <si>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</si>
  <si>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</si>
  <si>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</si>
  <si>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</si>
  <si>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</si>
  <si>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</si>
  <si>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</si>
  <si>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</si>
  <si>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</si>
  <si>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</si>
  <si>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</si>
  <si>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</si>
  <si>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</si>
  <si>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</si>
  <si>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</si>
  <si>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</si>
  <si>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</si>
  <si>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</si>
  <si>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</si>
  <si>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</si>
  <si>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</si>
  <si>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</si>
  <si>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</si>
  <si>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</si>
  <si>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</si>
  <si>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</si>
  <si>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</si>
  <si>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</si>
  <si>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</si>
  <si>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</si>
  <si>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</si>
  <si>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</si>
  <si>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</si>
  <si>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</si>
  <si>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</si>
  <si>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</si>
  <si>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</si>
  <si>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</si>
  <si>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</si>
  <si>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</si>
  <si>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</si>
  <si>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</si>
  <si>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</si>
  <si>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</si>
  <si>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</si>
  <si>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</si>
  <si>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</si>
  <si>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</si>
  <si>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</si>
  <si>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</si>
  <si>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</si>
  <si>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</si>
  <si>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</si>
  <si>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</si>
  <si>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</si>
  <si>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</si>
  <si>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</si>
  <si>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</si>
  <si>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</si>
  <si>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</si>
  <si>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</si>
  <si>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</si>
  <si>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</si>
  <si>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</si>
  <si>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</si>
  <si>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</si>
  <si>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</si>
  <si>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</si>
  <si>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</si>
  <si>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</si>
  <si>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</si>
  <si>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</si>
  <si>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</si>
  <si>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</si>
  <si>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</si>
  <si>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</si>
  <si>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</si>
  <si>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</si>
  <si>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</si>
  <si>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</si>
  <si>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</si>
  <si>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</si>
  <si>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</si>
  <si>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</si>
  <si>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</si>
  <si>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</si>
  <si>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</si>
  <si>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</si>
  <si>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</si>
  <si>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</si>
  <si>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</si>
  <si>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</si>
  <si>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</si>
  <si>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</si>
  <si>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</si>
  <si>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</si>
  <si>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</si>
  <si>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</si>
  <si>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</si>
  <si>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</si>
  <si>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</si>
  <si>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</si>
  <si>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</si>
  <si>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</si>
  <si>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</si>
  <si>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</si>
  <si>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</si>
  <si>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</si>
  <si>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</si>
  <si>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</si>
  <si>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</si>
  <si>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</si>
  <si>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</si>
  <si>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</si>
  <si>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</si>
  <si>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</si>
  <si>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</si>
  <si>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</si>
  <si>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</si>
  <si>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</si>
  <si>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</si>
  <si>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</si>
  <si>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</si>
  <si>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</si>
  <si>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</si>
  <si>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</si>
  <si>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</si>
  <si>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</si>
  <si>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</si>
  <si>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</si>
  <si>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</si>
  <si>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</si>
  <si>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</si>
  <si>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</si>
  <si>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</si>
  <si>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</si>
  <si>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</si>
  <si>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</si>
  <si>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</si>
  <si>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NBA Draft Pick</t>
  </si>
  <si>
    <t>NBA Draft Year</t>
  </si>
  <si>
    <t>America East Conference</t>
  </si>
  <si>
    <t>Atlantic 10 Conference</t>
  </si>
  <si>
    <t>Atlantic Sun Conference</t>
  </si>
  <si>
    <t>Big Sky Conference</t>
  </si>
  <si>
    <t>Big South Conference</t>
  </si>
  <si>
    <t>Big West Conference</t>
  </si>
  <si>
    <t>Colonial Athletic Association</t>
  </si>
  <si>
    <t>Horizon League</t>
  </si>
  <si>
    <t>Ivy League</t>
  </si>
  <si>
    <t>Metro Atlantic Athletic Conference</t>
  </si>
  <si>
    <t>Mid-Continent Conference</t>
  </si>
  <si>
    <t>Mid-Eastern Athletic Conference</t>
  </si>
  <si>
    <t>Missouri Valley Conference</t>
  </si>
  <si>
    <t>Northeast Conference</t>
  </si>
  <si>
    <t>Ohio Valley Conference</t>
  </si>
  <si>
    <t>Patriot League</t>
  </si>
  <si>
    <t>Southern Conference</t>
  </si>
  <si>
    <t>Southland Conference</t>
  </si>
  <si>
    <t>Southwestern Athletic Conference</t>
  </si>
  <si>
    <t>West Coast Conference</t>
  </si>
  <si>
    <t>Boston University Terriers</t>
  </si>
  <si>
    <t>Vermont Catamounts</t>
  </si>
  <si>
    <t>Hartford Hawks</t>
  </si>
  <si>
    <t>Binghamton Bearcats</t>
  </si>
  <si>
    <t>Maine Black Bears</t>
  </si>
  <si>
    <t>Northeastern Huskies</t>
  </si>
  <si>
    <t>Stony Brook Seawolves</t>
  </si>
  <si>
    <t>Albany Great Danes</t>
  </si>
  <si>
    <t>New Hampshire Wildcats</t>
  </si>
  <si>
    <t>Saint Joseph's Hawks</t>
  </si>
  <si>
    <t>Rhode Island Rams</t>
  </si>
  <si>
    <t>UMass Minutemen</t>
  </si>
  <si>
    <t>Fordham Rams</t>
  </si>
  <si>
    <t>St. Bonaventure Bonnies</t>
  </si>
  <si>
    <t>Xavier Musketeers</t>
  </si>
  <si>
    <t>Dayton Flyers</t>
  </si>
  <si>
    <t>Richmond Spiders</t>
  </si>
  <si>
    <t>La Salle Explorers</t>
  </si>
  <si>
    <t>George Washington Colonials</t>
  </si>
  <si>
    <t>Duquesne Dukes</t>
  </si>
  <si>
    <t>Belmont Bruins</t>
  </si>
  <si>
    <t>Jacksonville State Gamecocks</t>
  </si>
  <si>
    <t>Samford Bulldogs</t>
  </si>
  <si>
    <t>Georgia State Panthers</t>
  </si>
  <si>
    <t>Gardner-Webb Runnin' Bulldogs</t>
  </si>
  <si>
    <t>Campbell Fighting Camels</t>
  </si>
  <si>
    <t>Mercer Bears</t>
  </si>
  <si>
    <t>Jacksonville Dolphins</t>
  </si>
  <si>
    <t>Stetson Hatters</t>
  </si>
  <si>
    <t>Florida Atlantic Owls</t>
  </si>
  <si>
    <t>Providence Friars</t>
  </si>
  <si>
    <t>Villanova Wildcats</t>
  </si>
  <si>
    <t>St. John's Red Storm</t>
  </si>
  <si>
    <t>Seton Hall Pirates</t>
  </si>
  <si>
    <t>Georgetown Hoyas</t>
  </si>
  <si>
    <t>Weber State Wildcats</t>
  </si>
  <si>
    <t>Eastern Washington Eagles</t>
  </si>
  <si>
    <t>Idaho State Bengals</t>
  </si>
  <si>
    <t>Montana Grizzlies</t>
  </si>
  <si>
    <t>Northern Arizona Lumberjacks</t>
  </si>
  <si>
    <t>Sacramento State Hornets</t>
  </si>
  <si>
    <t>Montana State Bobcats</t>
  </si>
  <si>
    <t>Portland State Vikings</t>
  </si>
  <si>
    <t>Winthrop Eagles</t>
  </si>
  <si>
    <t>Charleston Southern Buccaneers</t>
  </si>
  <si>
    <t>Liberty Flames</t>
  </si>
  <si>
    <t>Elon Phoenix</t>
  </si>
  <si>
    <t>UNC Asheville Bulldogs</t>
  </si>
  <si>
    <t>Radford Highlanders</t>
  </si>
  <si>
    <t>Coastal Carolina Chanticleers</t>
  </si>
  <si>
    <t>High Point Panthers</t>
  </si>
  <si>
    <t>Northwestern Huskies</t>
  </si>
  <si>
    <t>UC Santa Barbara Gauchos</t>
  </si>
  <si>
    <t>UC Irvine Anteaters</t>
  </si>
  <si>
    <t>Cal Poly Mustangs</t>
  </si>
  <si>
    <t>Cal State Fullerton Titans</t>
  </si>
  <si>
    <t>Cal State Northridge Matadors</t>
  </si>
  <si>
    <t>Pacific Tigers</t>
  </si>
  <si>
    <t>UC Riverside Highlanders</t>
  </si>
  <si>
    <t>Long Beach State 49ers</t>
  </si>
  <si>
    <t>UNC Wilmington Seahawks</t>
  </si>
  <si>
    <t>VCU Rams</t>
  </si>
  <si>
    <t>Drexel Dragons</t>
  </si>
  <si>
    <t>George Mason Patriots</t>
  </si>
  <si>
    <t>Delaware Fightin' Blue Hens</t>
  </si>
  <si>
    <t>Old Dominion Monarchs</t>
  </si>
  <si>
    <t>James Madison Dukes</t>
  </si>
  <si>
    <t>William &amp; Mary Tribe</t>
  </si>
  <si>
    <t>Hofstra Pride</t>
  </si>
  <si>
    <t>Towson Tigers</t>
  </si>
  <si>
    <t>Marquette Golden Eagles</t>
  </si>
  <si>
    <t>Saint Louis Billikens</t>
  </si>
  <si>
    <t>DePaul Blue Demons</t>
  </si>
  <si>
    <t>Charlotte 49ers</t>
  </si>
  <si>
    <t>Butler Bulldogs</t>
  </si>
  <si>
    <t>Milwaukee Panthers</t>
  </si>
  <si>
    <t>UIC Flames</t>
  </si>
  <si>
    <t>Loyola Ramblers</t>
  </si>
  <si>
    <t>Detroit Titans</t>
  </si>
  <si>
    <t>Green Bay Phoenix</t>
  </si>
  <si>
    <t>Youngstown State Penguins</t>
  </si>
  <si>
    <t>Wright State Raiders</t>
  </si>
  <si>
    <t>Cleveland State Vikings</t>
  </si>
  <si>
    <t>Penn Quakers</t>
  </si>
  <si>
    <t>Brown Bears</t>
  </si>
  <si>
    <t>Princeton Tigers</t>
  </si>
  <si>
    <t>Yale Bulldogs</t>
  </si>
  <si>
    <t>Harvard Crimson</t>
  </si>
  <si>
    <t>Cornell Big Red</t>
  </si>
  <si>
    <t>Dartmouth Big Green</t>
  </si>
  <si>
    <t>Columbia Lions</t>
  </si>
  <si>
    <t>Manhattan Jaspers</t>
  </si>
  <si>
    <t>Fairfield Stags</t>
  </si>
  <si>
    <t>Siena Saints</t>
  </si>
  <si>
    <t>Niagara Purple Eagles</t>
  </si>
  <si>
    <t>Iona Gaels</t>
  </si>
  <si>
    <t>Marist Red Foxes</t>
  </si>
  <si>
    <t>Rider Broncs</t>
  </si>
  <si>
    <t>Saint Peter's Peacocks</t>
  </si>
  <si>
    <t>Canisius Golden Griffins</t>
  </si>
  <si>
    <t>Loyola Greyhounds</t>
  </si>
  <si>
    <t>Valparaiso Crusaders</t>
  </si>
  <si>
    <t>IUPUI Jaguars</t>
  </si>
  <si>
    <t>Oakland Golden Grizzlies</t>
  </si>
  <si>
    <t>Oral Roberts Golden Eagles</t>
  </si>
  <si>
    <t>Southern Utah Thunderbirds</t>
  </si>
  <si>
    <t>Western Illinois Leathernecks</t>
  </si>
  <si>
    <t>Chicago State Cougars</t>
  </si>
  <si>
    <t>South Carolina State Bulldogs</t>
  </si>
  <si>
    <t>Hampton Pirates</t>
  </si>
  <si>
    <t>Delaware State Hornets</t>
  </si>
  <si>
    <t>Florida A&amp;M Rattlers</t>
  </si>
  <si>
    <t>Coppin State Eagles</t>
  </si>
  <si>
    <t>Norfolk State Spartans</t>
  </si>
  <si>
    <t>Howard Bison</t>
  </si>
  <si>
    <t>Morgan State Bears</t>
  </si>
  <si>
    <t>Bethune-Cookman Wildcats</t>
  </si>
  <si>
    <t>Maryland Eastern Shore Hawks</t>
  </si>
  <si>
    <t>North Carolina A&amp;T Aggies</t>
  </si>
  <si>
    <t>Southern Illinois Salukis</t>
  </si>
  <si>
    <t>Creighton Bluejays</t>
  </si>
  <si>
    <t>Wichita State Shockers</t>
  </si>
  <si>
    <t>Southwest Missouri State Bears</t>
  </si>
  <si>
    <t>Evansville Purple Aces</t>
  </si>
  <si>
    <t>Bradley Braves</t>
  </si>
  <si>
    <t>Northern Iowa Panthers</t>
  </si>
  <si>
    <t>Drake Bulldogs</t>
  </si>
  <si>
    <t>Illinois State Redbirds</t>
  </si>
  <si>
    <t>Indiana State Sycamores</t>
  </si>
  <si>
    <t>Wagner Seahawks</t>
  </si>
  <si>
    <t>Monmouth Hawks</t>
  </si>
  <si>
    <t>Central Connecticut Blue Devils</t>
  </si>
  <si>
    <t>Quinnipiac Bobcats</t>
  </si>
  <si>
    <t>Saint Francis Red Flash</t>
  </si>
  <si>
    <t>Fairleigh Dickinson Knights</t>
  </si>
  <si>
    <t>Robert Morris Colonials</t>
  </si>
  <si>
    <t>Mount St. Mary's Mountaineers</t>
  </si>
  <si>
    <t>Sacred Heart Pioneers</t>
  </si>
  <si>
    <t>UMBC Retrievers</t>
  </si>
  <si>
    <t>Austin Peay Governors</t>
  </si>
  <si>
    <t>Morehead State Eagles</t>
  </si>
  <si>
    <t>Tennessee Tech Golden Eagles</t>
  </si>
  <si>
    <t>Murray State Racers</t>
  </si>
  <si>
    <t>Eastern Illinois Panthers</t>
  </si>
  <si>
    <t>UT Martin Skyhawks</t>
  </si>
  <si>
    <t>Southeast Missouri State Redhawks</t>
  </si>
  <si>
    <t>Eastern Kentucky Colonels</t>
  </si>
  <si>
    <t>Tennessee State Tigers</t>
  </si>
  <si>
    <t>Holy Cross Crusaders</t>
  </si>
  <si>
    <t>American Eagles</t>
  </si>
  <si>
    <t>Colgate Raiders</t>
  </si>
  <si>
    <t>Lehigh Mountain Hawks</t>
  </si>
  <si>
    <t>Bucknell Bison</t>
  </si>
  <si>
    <t>Lafayette Leopards</t>
  </si>
  <si>
    <t>Davidson Wildcats</t>
  </si>
  <si>
    <t>East Tennessee State Buccaneers</t>
  </si>
  <si>
    <t>Appalachian State Mountaineers</t>
  </si>
  <si>
    <t>Western Carolina Catamounts</t>
  </si>
  <si>
    <t>VMI Keydets</t>
  </si>
  <si>
    <t>UNC Greensboro Spartans</t>
  </si>
  <si>
    <t>Charleston Cougars</t>
  </si>
  <si>
    <t>Chattanooga Mocs</t>
  </si>
  <si>
    <t>Georgia Southern Eagles</t>
  </si>
  <si>
    <t>Wofford Terriers</t>
  </si>
  <si>
    <t>Furman Paladins</t>
  </si>
  <si>
    <t>The Citadel Bulldogs</t>
  </si>
  <si>
    <t>Sam Houston Bearkats</t>
  </si>
  <si>
    <t>Stephen F. Austin Lumberjacks</t>
  </si>
  <si>
    <t>Southwest Texas State Bobcats</t>
  </si>
  <si>
    <t>McNeese State Cowboys</t>
  </si>
  <si>
    <t>Lamar Cardinals</t>
  </si>
  <si>
    <t>Southeastern Louisiana Lions</t>
  </si>
  <si>
    <t>UTSA Roadrunners</t>
  </si>
  <si>
    <t>Northwestern State Demons</t>
  </si>
  <si>
    <t>Nicholls State Colonels</t>
  </si>
  <si>
    <t>Prairie View A&amp;M Panthers</t>
  </si>
  <si>
    <t>Mississippi Valley State Delta Devils</t>
  </si>
  <si>
    <t>Texas Southern Tigers</t>
  </si>
  <si>
    <t>Alabama State Hornets</t>
  </si>
  <si>
    <t>Alcorn State Braves</t>
  </si>
  <si>
    <t>Grambling State Tigers</t>
  </si>
  <si>
    <t>Jackson State Tigers</t>
  </si>
  <si>
    <t>Southern Jaguars</t>
  </si>
  <si>
    <t>Alabama A&amp;M Bulldogs</t>
  </si>
  <si>
    <t>Arkansas-Pine Bluff Golden Lions</t>
  </si>
  <si>
    <t>Western Kentucky Hilltoppers</t>
  </si>
  <si>
    <t>Little Rock Trojans</t>
  </si>
  <si>
    <t>FIU Panthers</t>
  </si>
  <si>
    <t>South Alabama Jaguars</t>
  </si>
  <si>
    <t>New Orleans Privateers</t>
  </si>
  <si>
    <t>Denver Pioneers</t>
  </si>
  <si>
    <t>Gonzaga Bulldogs</t>
  </si>
  <si>
    <t>San Diego Toreros</t>
  </si>
  <si>
    <t>San Francisco Dons</t>
  </si>
  <si>
    <t>Pepperdine Waves</t>
  </si>
  <si>
    <t>Saint Mary's Gaels</t>
  </si>
  <si>
    <t>Portland Pilots</t>
  </si>
  <si>
    <t>Loyola Marymount Lions</t>
  </si>
  <si>
    <t>Santa Clara Broncos</t>
  </si>
  <si>
    <t>Birmingham-Southern Panthers</t>
  </si>
  <si>
    <t>Centenary Gentlemen</t>
  </si>
  <si>
    <t>Texas A&amp;M-Corpus Christi Islanders</t>
  </si>
  <si>
    <t>UTRGV Vaqueros</t>
  </si>
  <si>
    <t>IPFW Mastodons</t>
  </si>
  <si>
    <t>Lipscomb Bisons</t>
  </si>
  <si>
    <t>Savannah State Tigers</t>
  </si>
  <si>
    <t>District of Columbia</t>
  </si>
  <si>
    <t>Rhode Island</t>
  </si>
  <si>
    <t>New Hampshire</t>
  </si>
  <si>
    <t>Delaware</t>
  </si>
  <si>
    <t>LIU Sharks</t>
  </si>
  <si>
    <t>Maine</t>
  </si>
  <si>
    <t>Montana</t>
  </si>
  <si>
    <t>UT Arlington Mavericks</t>
  </si>
  <si>
    <t>Vermont</t>
  </si>
  <si>
    <t>St. Francis Brooklyn Terriers</t>
  </si>
  <si>
    <t>Kansas City Roos</t>
  </si>
  <si>
    <t>Utah Valley Wolverines</t>
  </si>
  <si>
    <t>UC Davis Aggies</t>
  </si>
  <si>
    <t>Longwood Lancers</t>
  </si>
  <si>
    <t>North Dakota State Bison</t>
  </si>
  <si>
    <t>Northern Colorado Bears</t>
  </si>
  <si>
    <t>South Dakota State Jackrabbits</t>
  </si>
  <si>
    <t>South Dakota</t>
  </si>
  <si>
    <t>North Dakota</t>
  </si>
  <si>
    <t>Kennesaw State Owls</t>
  </si>
  <si>
    <t>North Florida Ospreys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</si>
</sst>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0" xfId="0" applyFont="1" applyFill="1"/>
    <xf numFmtId="0" fontId="2" fillId="0" borderId="0" xfId="0" applyNumberFormat="1" applyFont="1" applyFill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BA Draft Pick" dataDxfId="18"/>
    <tableColumn id="4" xr3:uid="{DBC1FC4E-71D0-42F6-917D-030D8AFAD02B}" name="NBA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335" totalsRowShown="0" dataDxfId="16">
  <autoFilter ref="A1:F335" xr:uid="{9B6505AB-A5DD-4D95-AC4E-61525CC9AAB8}"/>
  <sortState xmlns:xlrd2="http://schemas.microsoft.com/office/spreadsheetml/2017/richdata2" ref="A2:F335">
    <sortCondition ref="C1:C335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33" totalsRowShown="0" dataDxfId="9">
  <autoFilter ref="A1:B33" xr:uid="{B3F1576C-CDF4-4027-B74D-1A9ACEDDF346}"/>
  <sortState xmlns:xlrd2="http://schemas.microsoft.com/office/spreadsheetml/2017/richdata2" ref="A2:B33">
    <sortCondition ref="A1:A3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SUMIFS(Tabela1[Rating],Tabela1[NBA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COUNTIFS(Tabela1[NBA Draft Year],Tabela3[[#This Row],[Draft]],Tabela1[NBA Draft Pick],"&gt;0")</calculatedColumnFormula>
    </tableColumn>
    <tableColumn id="3" xr3:uid="{650D3B83-3E1A-47A4-A059-6373CC46D425}" name="Total Players" dataDxfId="2">
      <calculatedColumnFormula>COUNTIFS(Tabela1[NBA Draft Year],Tabela3[[#This Row],[Draft]])</calculatedColumnFormula>
    </tableColumn>
    <tableColumn id="6" xr3:uid="{C1AC2DF4-0C7B-4F58-A3F4-CDE6E3EAE615}" name="Players 80-89 Overall" dataDxfId="1">
      <calculatedColumnFormula>COUNTIFS(Tabela1[NBA Draft Year],Tabela3[[#This Row],[Draft]],Tabela1[Rating],"&lt;90")-COUNTIFS(Tabela1[NBA Draft Year],Tabela3[[#This Row],[Draft]],Tabela1[Rating],"&lt;80")</calculatedColumnFormula>
    </tableColumn>
    <tableColumn id="7" xr3:uid="{14CDA920-3C3F-43C6-A43E-7CD6F36B9311}" name="Players +90 Overall" dataDxfId="0">
      <calculatedColumnFormula>COUNTIFS(Tabela1[NBA Draft Year],Tabela3[[#This Row],[Draft]],Tabela1[Rating],"&lt;100")-COUNTIFS(Tabela1[NBA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3" sqref="B3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5.5546875" bestFit="1" customWidth="1"/>
    <col min="7" max="7" width="15.77734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5</v>
      </c>
      <c r="E1" t="s">
        <v>11</v>
      </c>
      <c r="F1" t="s">
        <v>185</v>
      </c>
      <c r="G1" t="s">
        <v>186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335"/>
  <sheetViews>
    <sheetView tabSelected="1" topLeftCell="A325" workbookViewId="0">
      <selection activeCell="B336" sqref="B336"/>
    </sheetView>
  </sheetViews>
  <sheetFormatPr defaultRowHeight="14.4" x14ac:dyDescent="0.3"/>
  <cols>
    <col min="1" max="1" width="31.33203125" bestFit="1" customWidth="1"/>
    <col min="2" max="2" width="17.6640625" bestFit="1" customWidth="1"/>
    <col min="3" max="3" width="30.66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5</v>
      </c>
      <c r="B1" t="s">
        <v>14</v>
      </c>
      <c r="C1" t="s">
        <v>12</v>
      </c>
      <c r="D1" t="s">
        <v>1</v>
      </c>
      <c r="E1" t="s">
        <v>15</v>
      </c>
      <c r="F1" t="s">
        <v>4</v>
      </c>
    </row>
    <row r="2" spans="1:6" x14ac:dyDescent="0.3">
      <c r="A2" s="1" t="s">
        <v>214</v>
      </c>
      <c r="B2" s="1" t="s">
        <v>160</v>
      </c>
      <c r="C2" s="1" t="s">
        <v>187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210</v>
      </c>
      <c r="B3" s="1" t="s">
        <v>160</v>
      </c>
      <c r="C3" s="1" t="s">
        <v>187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207</v>
      </c>
      <c r="B4" s="1" t="s">
        <v>166</v>
      </c>
      <c r="C4" s="1" t="s">
        <v>187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209</v>
      </c>
      <c r="B5" s="1" t="s">
        <v>146</v>
      </c>
      <c r="C5" s="1" t="s">
        <v>187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211</v>
      </c>
      <c r="B6" s="1" t="s">
        <v>418</v>
      </c>
      <c r="C6" s="1" t="s">
        <v>187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215</v>
      </c>
      <c r="B7" s="1" t="s">
        <v>415</v>
      </c>
      <c r="C7" s="1" t="s">
        <v>187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213</v>
      </c>
      <c r="B8" s="1" t="s">
        <v>160</v>
      </c>
      <c r="C8" s="1" t="s">
        <v>187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345</v>
      </c>
      <c r="B9" s="1" t="s">
        <v>170</v>
      </c>
      <c r="C9" s="1" t="s">
        <v>187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208</v>
      </c>
      <c r="B10" s="1" t="s">
        <v>421</v>
      </c>
      <c r="C10" s="1" t="s">
        <v>187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280</v>
      </c>
      <c r="B11" s="1" t="s">
        <v>169</v>
      </c>
      <c r="C11" s="1" t="s">
        <v>188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222</v>
      </c>
      <c r="B12" s="1" t="s">
        <v>162</v>
      </c>
      <c r="C12" s="1" t="s">
        <v>188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226</v>
      </c>
      <c r="B13" s="1" t="s">
        <v>161</v>
      </c>
      <c r="C13" s="1" t="s">
        <v>188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219</v>
      </c>
      <c r="B14" s="1" t="s">
        <v>160</v>
      </c>
      <c r="C14" s="1" t="s">
        <v>188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225</v>
      </c>
      <c r="B15" s="1" t="s">
        <v>413</v>
      </c>
      <c r="C15" s="1" t="s">
        <v>188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224</v>
      </c>
      <c r="B16" s="1" t="s">
        <v>161</v>
      </c>
      <c r="C16" s="1" t="s">
        <v>188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217</v>
      </c>
      <c r="B17" s="1" t="s">
        <v>414</v>
      </c>
      <c r="C17" s="1" t="s">
        <v>188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223</v>
      </c>
      <c r="B18" s="1" t="s">
        <v>176</v>
      </c>
      <c r="C18" s="1" t="s">
        <v>188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216</v>
      </c>
      <c r="B19" s="1" t="s">
        <v>161</v>
      </c>
      <c r="C19" s="1" t="s">
        <v>188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278</v>
      </c>
      <c r="B20" s="1" t="s">
        <v>171</v>
      </c>
      <c r="C20" s="1" t="s">
        <v>188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220</v>
      </c>
      <c r="B21" s="1" t="s">
        <v>160</v>
      </c>
      <c r="C21" s="1" t="s">
        <v>188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57</v>
      </c>
      <c r="B22" s="1" t="s">
        <v>161</v>
      </c>
      <c r="C22" s="1" t="s">
        <v>188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218</v>
      </c>
      <c r="B23" s="1" t="s">
        <v>166</v>
      </c>
      <c r="C23" s="1" t="s">
        <v>188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221</v>
      </c>
      <c r="B24" s="1" t="s">
        <v>162</v>
      </c>
      <c r="C24" s="1" t="s">
        <v>188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51</v>
      </c>
      <c r="B25" s="1" t="s">
        <v>166</v>
      </c>
      <c r="C25" s="1" t="s">
        <v>16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34</v>
      </c>
      <c r="B26" s="1" t="s">
        <v>168</v>
      </c>
      <c r="C26" s="1" t="s">
        <v>16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38</v>
      </c>
      <c r="B27" s="1" t="s">
        <v>169</v>
      </c>
      <c r="C27" s="1" t="s">
        <v>16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29</v>
      </c>
      <c r="B28" s="1" t="s">
        <v>147</v>
      </c>
      <c r="C28" s="1" t="s">
        <v>16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33</v>
      </c>
      <c r="B29" s="1" t="s">
        <v>151</v>
      </c>
      <c r="C29" s="1" t="s">
        <v>16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36</v>
      </c>
      <c r="B30" s="1" t="s">
        <v>170</v>
      </c>
      <c r="C30" s="1" t="s">
        <v>16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30</v>
      </c>
      <c r="B31" s="1" t="s">
        <v>147</v>
      </c>
      <c r="C31" s="1" t="s">
        <v>16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35</v>
      </c>
      <c r="B32" s="1" t="s">
        <v>169</v>
      </c>
      <c r="C32" s="1" t="s">
        <v>16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32</v>
      </c>
      <c r="B33" s="1" t="s">
        <v>169</v>
      </c>
      <c r="C33" s="1" t="s">
        <v>16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31</v>
      </c>
      <c r="B34" s="1" t="s">
        <v>176</v>
      </c>
      <c r="C34" s="1" t="s">
        <v>16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28</v>
      </c>
      <c r="B35" s="1" t="s">
        <v>176</v>
      </c>
      <c r="C35" s="1" t="s">
        <v>16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37</v>
      </c>
      <c r="B36" s="1" t="s">
        <v>169</v>
      </c>
      <c r="C36" s="1" t="s">
        <v>16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227</v>
      </c>
      <c r="B37" s="1" t="s">
        <v>159</v>
      </c>
      <c r="C37" s="1" t="s">
        <v>189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232</v>
      </c>
      <c r="B38" s="1" t="s">
        <v>169</v>
      </c>
      <c r="C38" s="1" t="s">
        <v>189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362</v>
      </c>
      <c r="B39" s="1" t="s">
        <v>159</v>
      </c>
      <c r="C39" s="1" t="s">
        <v>189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236</v>
      </c>
      <c r="B40" s="1" t="s">
        <v>147</v>
      </c>
      <c r="C40" s="1" t="s">
        <v>189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231</v>
      </c>
      <c r="B41" s="1" t="s">
        <v>169</v>
      </c>
      <c r="C41" s="1" t="s">
        <v>189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234</v>
      </c>
      <c r="B42" s="1" t="s">
        <v>147</v>
      </c>
      <c r="C42" s="1" t="s">
        <v>189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3" t="s">
        <v>432</v>
      </c>
      <c r="B43" s="1" t="s">
        <v>151</v>
      </c>
      <c r="C43" s="1" t="s">
        <v>189</v>
      </c>
      <c r="D43" s="4">
        <f>COUNTIF(Tabela1[Team],Tabela2[[#This Row],[Team]])</f>
        <v>0</v>
      </c>
      <c r="E43" s="3">
        <f>Tabela2[[#This Row],[Number Players]]-Tabela2[[#This Row],[Total Players]]</f>
        <v>0</v>
      </c>
      <c r="F43" s="3"/>
    </row>
    <row r="44" spans="1:6" x14ac:dyDescent="0.3">
      <c r="A44" s="1" t="s">
        <v>411</v>
      </c>
      <c r="B44" s="1" t="s">
        <v>159</v>
      </c>
      <c r="C44" s="1" t="s">
        <v>189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233</v>
      </c>
      <c r="B45" s="1" t="s">
        <v>151</v>
      </c>
      <c r="C45" s="1" t="s">
        <v>189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3" t="s">
        <v>433</v>
      </c>
      <c r="B46" s="1" t="s">
        <v>147</v>
      </c>
      <c r="C46" s="1" t="s">
        <v>189</v>
      </c>
      <c r="D46" s="4">
        <f>COUNTIF(Tabela1[Team],Tabela2[[#This Row],[Team]])</f>
        <v>0</v>
      </c>
      <c r="E46" s="3">
        <f>Tabela2[[#This Row],[Number Players]]-Tabela2[[#This Row],[Total Players]]</f>
        <v>0</v>
      </c>
      <c r="F46" s="3"/>
    </row>
    <row r="47" spans="1:6" x14ac:dyDescent="0.3">
      <c r="A47" s="1" t="s">
        <v>235</v>
      </c>
      <c r="B47" s="1" t="s">
        <v>147</v>
      </c>
      <c r="C47" s="1" t="s">
        <v>189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50</v>
      </c>
      <c r="B48" s="1" t="s">
        <v>148</v>
      </c>
      <c r="C48" s="1" t="s">
        <v>17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39</v>
      </c>
      <c r="B49" s="1" t="s">
        <v>145</v>
      </c>
      <c r="C49" s="1" t="s">
        <v>17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40</v>
      </c>
      <c r="B50" s="1" t="s">
        <v>155</v>
      </c>
      <c r="C50" s="1" t="s">
        <v>17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43</v>
      </c>
      <c r="B51" s="1" t="s">
        <v>156</v>
      </c>
      <c r="C51" s="1" t="s">
        <v>17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44</v>
      </c>
      <c r="B52" s="1" t="s">
        <v>156</v>
      </c>
      <c r="C52" s="1" t="s">
        <v>17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42</v>
      </c>
      <c r="B53" s="1" t="s">
        <v>171</v>
      </c>
      <c r="C53" s="1" t="s">
        <v>17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41</v>
      </c>
      <c r="B54" s="1" t="s">
        <v>172</v>
      </c>
      <c r="C54" s="1" t="s">
        <v>17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45</v>
      </c>
      <c r="B55" s="1" t="s">
        <v>174</v>
      </c>
      <c r="C55" s="1" t="s">
        <v>17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49</v>
      </c>
      <c r="B56" s="1" t="s">
        <v>174</v>
      </c>
      <c r="C56" s="1" t="s">
        <v>17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47</v>
      </c>
      <c r="B57" s="1" t="s">
        <v>148</v>
      </c>
      <c r="C57" s="1" t="s">
        <v>17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46</v>
      </c>
      <c r="B58" s="1" t="s">
        <v>148</v>
      </c>
      <c r="C58" s="1" t="s">
        <v>17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48</v>
      </c>
      <c r="B59" s="1" t="s">
        <v>148</v>
      </c>
      <c r="C59" s="1" t="s">
        <v>17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71</v>
      </c>
      <c r="B60" s="1" t="s">
        <v>162</v>
      </c>
      <c r="C60" s="1" t="s">
        <v>18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55</v>
      </c>
      <c r="B61" s="1" t="s">
        <v>146</v>
      </c>
      <c r="C61" s="1" t="s">
        <v>18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279</v>
      </c>
      <c r="B62" s="1" t="s">
        <v>149</v>
      </c>
      <c r="C62" s="1" t="s">
        <v>18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241</v>
      </c>
      <c r="B63" s="1" t="s">
        <v>413</v>
      </c>
      <c r="C63" s="1" t="s">
        <v>18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68</v>
      </c>
      <c r="B64" s="1" t="s">
        <v>157</v>
      </c>
      <c r="C64" s="1" t="s">
        <v>18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277</v>
      </c>
      <c r="B65" s="1" t="s">
        <v>178</v>
      </c>
      <c r="C65" s="1" t="s">
        <v>18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142</v>
      </c>
      <c r="B66" s="1" t="s">
        <v>154</v>
      </c>
      <c r="C66" s="1" t="s">
        <v>18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52</v>
      </c>
      <c r="B67" s="1" t="s">
        <v>161</v>
      </c>
      <c r="C67" s="1" t="s">
        <v>18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237</v>
      </c>
      <c r="B68" s="1" t="s">
        <v>414</v>
      </c>
      <c r="C68" s="1" t="s">
        <v>18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56</v>
      </c>
      <c r="B69" s="1" t="s">
        <v>184</v>
      </c>
      <c r="C69" s="1" t="s">
        <v>18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240</v>
      </c>
      <c r="B70" s="1" t="s">
        <v>184</v>
      </c>
      <c r="C70" s="1" t="s">
        <v>18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75</v>
      </c>
      <c r="B71" s="1" t="s">
        <v>147</v>
      </c>
      <c r="C71" s="1" t="s">
        <v>18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239</v>
      </c>
      <c r="B72" s="1" t="s">
        <v>160</v>
      </c>
      <c r="C72" s="1" t="s">
        <v>18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54</v>
      </c>
      <c r="B73" s="1" t="s">
        <v>160</v>
      </c>
      <c r="C73" s="1" t="s">
        <v>18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238</v>
      </c>
      <c r="B74" s="1" t="s">
        <v>161</v>
      </c>
      <c r="C74" s="1" t="s">
        <v>18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53</v>
      </c>
      <c r="B75" s="1" t="s">
        <v>180</v>
      </c>
      <c r="C75" s="1" t="s">
        <v>18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243</v>
      </c>
      <c r="B76" s="1" t="s">
        <v>177</v>
      </c>
      <c r="C76" s="1" t="s">
        <v>190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244</v>
      </c>
      <c r="B77" s="1" t="s">
        <v>153</v>
      </c>
      <c r="C77" s="1" t="s">
        <v>190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245</v>
      </c>
      <c r="B78" s="1" t="s">
        <v>419</v>
      </c>
      <c r="C78" s="1" t="s">
        <v>190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248</v>
      </c>
      <c r="B79" s="1" t="s">
        <v>419</v>
      </c>
      <c r="C79" s="1" t="s">
        <v>190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246</v>
      </c>
      <c r="B80" s="1" t="s">
        <v>164</v>
      </c>
      <c r="C80" s="1" t="s">
        <v>190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249</v>
      </c>
      <c r="B81" s="1" t="s">
        <v>175</v>
      </c>
      <c r="C81" s="1" t="s">
        <v>190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247</v>
      </c>
      <c r="B82" s="1" t="s">
        <v>144</v>
      </c>
      <c r="C82" s="1" t="s">
        <v>190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242</v>
      </c>
      <c r="B83" s="1" t="s">
        <v>150</v>
      </c>
      <c r="C83" s="1" t="s">
        <v>190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406</v>
      </c>
      <c r="B84" s="1" t="s">
        <v>163</v>
      </c>
      <c r="C84" s="1" t="s">
        <v>191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251</v>
      </c>
      <c r="B85" s="1" t="s">
        <v>168</v>
      </c>
      <c r="C85" s="1" t="s">
        <v>191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256</v>
      </c>
      <c r="B86" s="1" t="s">
        <v>168</v>
      </c>
      <c r="C86" s="1" t="s">
        <v>191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257</v>
      </c>
      <c r="B87" s="1" t="s">
        <v>169</v>
      </c>
      <c r="C87" s="1" t="s">
        <v>191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252</v>
      </c>
      <c r="B88" s="1" t="s">
        <v>176</v>
      </c>
      <c r="C88" s="1" t="s">
        <v>191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255</v>
      </c>
      <c r="B89" s="1" t="s">
        <v>176</v>
      </c>
      <c r="C89" s="1" t="s">
        <v>191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254</v>
      </c>
      <c r="B90" s="1" t="s">
        <v>169</v>
      </c>
      <c r="C90" s="1" t="s">
        <v>191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365</v>
      </c>
      <c r="B91" s="1" t="s">
        <v>176</v>
      </c>
      <c r="C91" s="1" t="s">
        <v>191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250</v>
      </c>
      <c r="B92" s="1" t="s">
        <v>168</v>
      </c>
      <c r="C92" s="1" t="s">
        <v>191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66</v>
      </c>
      <c r="B93" s="1" t="s">
        <v>149</v>
      </c>
      <c r="C93" s="1" t="s">
        <v>19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67</v>
      </c>
      <c r="B94" s="1" t="s">
        <v>154</v>
      </c>
      <c r="C94" s="1" t="s">
        <v>19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59</v>
      </c>
      <c r="B95" s="1" t="s">
        <v>155</v>
      </c>
      <c r="C95" s="1" t="s">
        <v>19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63</v>
      </c>
      <c r="B96" s="1" t="s">
        <v>167</v>
      </c>
      <c r="C96" s="1" t="s">
        <v>19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58</v>
      </c>
      <c r="B97" s="1" t="s">
        <v>167</v>
      </c>
      <c r="C97" s="1" t="s">
        <v>19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64</v>
      </c>
      <c r="B98" s="1" t="s">
        <v>181</v>
      </c>
      <c r="C98" s="1" t="s">
        <v>19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258</v>
      </c>
      <c r="B99" s="1" t="s">
        <v>149</v>
      </c>
      <c r="C99" s="1" t="s">
        <v>19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61</v>
      </c>
      <c r="B100" s="1" t="s">
        <v>162</v>
      </c>
      <c r="C100" s="1" t="s">
        <v>19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65</v>
      </c>
      <c r="B101" s="1" t="s">
        <v>161</v>
      </c>
      <c r="C101" s="1" t="s">
        <v>19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62</v>
      </c>
      <c r="B102" s="1" t="s">
        <v>154</v>
      </c>
      <c r="C102" s="1" t="s">
        <v>19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60</v>
      </c>
      <c r="B103" s="1" t="s">
        <v>178</v>
      </c>
      <c r="C103" s="1" t="s">
        <v>19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261</v>
      </c>
      <c r="B104" s="1" t="s">
        <v>144</v>
      </c>
      <c r="C104" s="1" t="s">
        <v>192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262</v>
      </c>
      <c r="B105" s="1" t="s">
        <v>144</v>
      </c>
      <c r="C105" s="1" t="s">
        <v>192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263</v>
      </c>
      <c r="B106" s="1" t="s">
        <v>144</v>
      </c>
      <c r="C106" s="1" t="s">
        <v>192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266</v>
      </c>
      <c r="B107" s="1" t="s">
        <v>144</v>
      </c>
      <c r="C107" s="1" t="s">
        <v>192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264</v>
      </c>
      <c r="B108" s="1" t="s">
        <v>144</v>
      </c>
      <c r="C108" s="1" t="s">
        <v>192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260</v>
      </c>
      <c r="B109" s="1" t="s">
        <v>144</v>
      </c>
      <c r="C109" s="1" t="s">
        <v>192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265</v>
      </c>
      <c r="B110" s="1" t="s">
        <v>144</v>
      </c>
      <c r="C110" s="1" t="s">
        <v>192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259</v>
      </c>
      <c r="B111" s="1" t="s">
        <v>144</v>
      </c>
      <c r="C111" s="1" t="s">
        <v>192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271</v>
      </c>
      <c r="B112" s="1" t="s">
        <v>416</v>
      </c>
      <c r="C112" s="1" t="s">
        <v>193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269</v>
      </c>
      <c r="B113" s="1" t="s">
        <v>161</v>
      </c>
      <c r="C113" s="1" t="s">
        <v>193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270</v>
      </c>
      <c r="B114" s="1" t="s">
        <v>176</v>
      </c>
      <c r="C114" s="1" t="s">
        <v>193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230</v>
      </c>
      <c r="B115" s="1" t="s">
        <v>151</v>
      </c>
      <c r="C115" s="1" t="s">
        <v>193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275</v>
      </c>
      <c r="B116" s="1" t="s">
        <v>160</v>
      </c>
      <c r="C116" s="1" t="s">
        <v>193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273</v>
      </c>
      <c r="B117" s="1" t="s">
        <v>176</v>
      </c>
      <c r="C117" s="1" t="s">
        <v>193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212</v>
      </c>
      <c r="B118" s="1" t="s">
        <v>166</v>
      </c>
      <c r="C118" s="1" t="s">
        <v>193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272</v>
      </c>
      <c r="B119" s="1" t="s">
        <v>176</v>
      </c>
      <c r="C119" s="1" t="s">
        <v>193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276</v>
      </c>
      <c r="B120" s="1" t="s">
        <v>170</v>
      </c>
      <c r="C120" s="1" t="s">
        <v>193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267</v>
      </c>
      <c r="B121" s="1" t="s">
        <v>169</v>
      </c>
      <c r="C121" s="1" t="s">
        <v>193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  <row r="122" spans="1:6" x14ac:dyDescent="0.3">
      <c r="A122" s="1" t="s">
        <v>268</v>
      </c>
      <c r="B122" s="1" t="s">
        <v>176</v>
      </c>
      <c r="C122" s="1" t="s">
        <v>193</v>
      </c>
      <c r="D122" s="1">
        <f>COUNTIF(Tabela1[Team],Tabela2[[#This Row],[Team]])</f>
        <v>0</v>
      </c>
      <c r="E122" s="1">
        <f>Tabela2[[#This Row],[Number Players]]-Tabela2[[#This Row],[Total Players]]</f>
        <v>0</v>
      </c>
      <c r="F122" s="1"/>
    </row>
    <row r="123" spans="1:6" x14ac:dyDescent="0.3">
      <c r="A123" s="1" t="s">
        <v>274</v>
      </c>
      <c r="B123" s="1" t="s">
        <v>176</v>
      </c>
      <c r="C123" s="1" t="s">
        <v>193</v>
      </c>
      <c r="D123" s="1">
        <f>COUNTIF(Tabela1[Team],Tabela2[[#This Row],[Team]])</f>
        <v>0</v>
      </c>
      <c r="E123" s="1">
        <f>Tabela2[[#This Row],[Number Players]]-Tabela2[[#This Row],[Total Players]]</f>
        <v>0</v>
      </c>
      <c r="F123" s="1"/>
    </row>
    <row r="124" spans="1:6" x14ac:dyDescent="0.3">
      <c r="A124" s="1" t="s">
        <v>77</v>
      </c>
      <c r="B124" s="1" t="s">
        <v>169</v>
      </c>
      <c r="C124" s="1" t="s">
        <v>20</v>
      </c>
      <c r="D124" s="1">
        <f>COUNTIF(Tabela1[Team],Tabela2[[#This Row],[Team]])</f>
        <v>0</v>
      </c>
      <c r="E124" s="1">
        <f>Tabela2[[#This Row],[Number Players]]-Tabela2[[#This Row],[Total Players]]</f>
        <v>0</v>
      </c>
      <c r="F124" s="1"/>
    </row>
    <row r="125" spans="1:6" x14ac:dyDescent="0.3">
      <c r="A125" s="1" t="s">
        <v>76</v>
      </c>
      <c r="B125" s="1" t="s">
        <v>148</v>
      </c>
      <c r="C125" s="1" t="s">
        <v>20</v>
      </c>
      <c r="D125" s="1">
        <f>COUNTIF(Tabela1[Team],Tabela2[[#This Row],[Team]])</f>
        <v>0</v>
      </c>
      <c r="E125" s="1">
        <f>Tabela2[[#This Row],[Number Players]]-Tabela2[[#This Row],[Total Players]]</f>
        <v>0</v>
      </c>
      <c r="F125" s="1"/>
    </row>
    <row r="126" spans="1:6" x14ac:dyDescent="0.3">
      <c r="A126" s="1" t="s">
        <v>81</v>
      </c>
      <c r="B126" s="1" t="s">
        <v>180</v>
      </c>
      <c r="C126" s="1" t="s">
        <v>20</v>
      </c>
      <c r="D126" s="1">
        <f>COUNTIF(Tabela1[Team],Tabela2[[#This Row],[Team]])</f>
        <v>0</v>
      </c>
      <c r="E126" s="1">
        <f>Tabela2[[#This Row],[Number Players]]-Tabela2[[#This Row],[Total Players]]</f>
        <v>0</v>
      </c>
      <c r="F126" s="1"/>
    </row>
    <row r="127" spans="1:6" x14ac:dyDescent="0.3">
      <c r="A127" s="1" t="s">
        <v>69</v>
      </c>
      <c r="B127" s="1" t="s">
        <v>159</v>
      </c>
      <c r="C127" s="1" t="s">
        <v>20</v>
      </c>
      <c r="D127" s="1">
        <f>COUNTIF(Tabela1[Team],Tabela2[[#This Row],[Team]])</f>
        <v>0</v>
      </c>
      <c r="E127" s="1">
        <f>Tabela2[[#This Row],[Number Players]]-Tabela2[[#This Row],[Total Players]]</f>
        <v>0</v>
      </c>
      <c r="F127" s="1"/>
    </row>
    <row r="128" spans="1:6" x14ac:dyDescent="0.3">
      <c r="A128" s="1" t="s">
        <v>139</v>
      </c>
      <c r="B128" s="1" t="s">
        <v>148</v>
      </c>
      <c r="C128" s="1" t="s">
        <v>20</v>
      </c>
      <c r="D128" s="1">
        <f>COUNTIF(Tabela1[Team],Tabela2[[#This Row],[Team]])</f>
        <v>0</v>
      </c>
      <c r="E128" s="1">
        <f>Tabela2[[#This Row],[Number Players]]-Tabela2[[#This Row],[Total Players]]</f>
        <v>0</v>
      </c>
      <c r="F128" s="1"/>
    </row>
    <row r="129" spans="1:6" x14ac:dyDescent="0.3">
      <c r="A129" s="1" t="s">
        <v>138</v>
      </c>
      <c r="B129" s="1" t="s">
        <v>148</v>
      </c>
      <c r="C129" s="1" t="s">
        <v>20</v>
      </c>
      <c r="D129" s="1">
        <f>COUNTIF(Tabela1[Team],Tabela2[[#This Row],[Team]])</f>
        <v>0</v>
      </c>
      <c r="E129" s="1">
        <f>Tabela2[[#This Row],[Number Players]]-Tabela2[[#This Row],[Total Players]]</f>
        <v>0</v>
      </c>
      <c r="F129" s="1"/>
    </row>
    <row r="130" spans="1:6" x14ac:dyDescent="0.3">
      <c r="A130" s="1" t="s">
        <v>70</v>
      </c>
      <c r="B130" s="1" t="s">
        <v>182</v>
      </c>
      <c r="C130" s="1" t="s">
        <v>20</v>
      </c>
      <c r="D130" s="1">
        <f>COUNTIF(Tabela1[Team],Tabela2[[#This Row],[Team]])</f>
        <v>0</v>
      </c>
      <c r="E130" s="1">
        <f>Tabela2[[#This Row],[Number Players]]-Tabela2[[#This Row],[Total Players]]</f>
        <v>0</v>
      </c>
      <c r="F130" s="1"/>
    </row>
    <row r="131" spans="1:6" x14ac:dyDescent="0.3">
      <c r="A131" s="1" t="s">
        <v>74</v>
      </c>
      <c r="B131" s="1" t="s">
        <v>158</v>
      </c>
      <c r="C131" s="1" t="s">
        <v>20</v>
      </c>
      <c r="D131" s="1">
        <f>COUNTIF(Tabela1[Team],Tabela2[[#This Row],[Team]])</f>
        <v>0</v>
      </c>
      <c r="E131" s="1">
        <f>Tabela2[[#This Row],[Number Players]]-Tabela2[[#This Row],[Total Players]]</f>
        <v>0</v>
      </c>
      <c r="F131" s="1"/>
    </row>
    <row r="132" spans="1:6" x14ac:dyDescent="0.3">
      <c r="A132" s="1" t="s">
        <v>137</v>
      </c>
      <c r="B132" s="1" t="s">
        <v>174</v>
      </c>
      <c r="C132" s="1" t="s">
        <v>20</v>
      </c>
      <c r="D132" s="1">
        <f>COUNTIF(Tabela1[Team],Tabela2[[#This Row],[Team]])</f>
        <v>0</v>
      </c>
      <c r="E132" s="1">
        <f>Tabela2[[#This Row],[Number Players]]-Tabela2[[#This Row],[Total Players]]</f>
        <v>0</v>
      </c>
      <c r="F132" s="1"/>
    </row>
    <row r="133" spans="1:6" x14ac:dyDescent="0.3">
      <c r="A133" s="1" t="s">
        <v>72</v>
      </c>
      <c r="B133" s="1" t="s">
        <v>163</v>
      </c>
      <c r="C133" s="1" t="s">
        <v>20</v>
      </c>
      <c r="D133" s="1">
        <f>COUNTIF(Tabela1[Team],Tabela2[[#This Row],[Team]])</f>
        <v>0</v>
      </c>
      <c r="E133" s="1">
        <f>Tabela2[[#This Row],[Number Players]]-Tabela2[[#This Row],[Total Players]]</f>
        <v>0</v>
      </c>
      <c r="F133" s="1"/>
    </row>
    <row r="134" spans="1:6" x14ac:dyDescent="0.3">
      <c r="A134" s="1" t="s">
        <v>85</v>
      </c>
      <c r="B134" s="1" t="s">
        <v>147</v>
      </c>
      <c r="C134" s="1" t="s">
        <v>20</v>
      </c>
      <c r="D134" s="1">
        <f>COUNTIF(Tabela1[Team],Tabela2[[#This Row],[Team]])</f>
        <v>0</v>
      </c>
      <c r="E134" s="1">
        <f>Tabela2[[#This Row],[Number Players]]-Tabela2[[#This Row],[Total Players]]</f>
        <v>0</v>
      </c>
      <c r="F134" s="1"/>
    </row>
    <row r="135" spans="1:6" x14ac:dyDescent="0.3">
      <c r="A135" s="1" t="s">
        <v>133</v>
      </c>
      <c r="B135" s="1" t="s">
        <v>148</v>
      </c>
      <c r="C135" s="1" t="s">
        <v>20</v>
      </c>
      <c r="D135" s="1">
        <f>COUNTIF(Tabela1[Team],Tabela2[[#This Row],[Team]])</f>
        <v>0</v>
      </c>
      <c r="E135" s="1">
        <f>Tabela2[[#This Row],[Number Players]]-Tabela2[[#This Row],[Total Players]]</f>
        <v>0</v>
      </c>
      <c r="F135" s="1"/>
    </row>
    <row r="136" spans="1:6" x14ac:dyDescent="0.3">
      <c r="A136" s="1" t="s">
        <v>281</v>
      </c>
      <c r="B136" s="1" t="s">
        <v>154</v>
      </c>
      <c r="C136" s="1" t="s">
        <v>194</v>
      </c>
      <c r="D136" s="1">
        <f>COUNTIF(Tabela1[Team],Tabela2[[#This Row],[Team]])</f>
        <v>0</v>
      </c>
      <c r="E136" s="1">
        <f>Tabela2[[#This Row],[Number Players]]-Tabela2[[#This Row],[Total Players]]</f>
        <v>0</v>
      </c>
      <c r="F136" s="1"/>
    </row>
    <row r="137" spans="1:6" x14ac:dyDescent="0.3">
      <c r="A137" s="1" t="s">
        <v>289</v>
      </c>
      <c r="B137" s="1" t="s">
        <v>162</v>
      </c>
      <c r="C137" s="1" t="s">
        <v>194</v>
      </c>
      <c r="D137" s="1">
        <f>COUNTIF(Tabela1[Team],Tabela2[[#This Row],[Team]])</f>
        <v>0</v>
      </c>
      <c r="E137" s="1">
        <f>Tabela2[[#This Row],[Number Players]]-Tabela2[[#This Row],[Total Players]]</f>
        <v>0</v>
      </c>
      <c r="F137" s="1"/>
    </row>
    <row r="138" spans="1:6" x14ac:dyDescent="0.3">
      <c r="A138" s="1" t="s">
        <v>285</v>
      </c>
      <c r="B138" s="1" t="s">
        <v>167</v>
      </c>
      <c r="C138" s="1" t="s">
        <v>194</v>
      </c>
      <c r="D138" s="1">
        <f>COUNTIF(Tabela1[Team],Tabela2[[#This Row],[Team]])</f>
        <v>0</v>
      </c>
      <c r="E138" s="1">
        <f>Tabela2[[#This Row],[Number Players]]-Tabela2[[#This Row],[Total Players]]</f>
        <v>0</v>
      </c>
      <c r="F138" s="1"/>
    </row>
    <row r="139" spans="1:6" x14ac:dyDescent="0.3">
      <c r="A139" s="1" t="s">
        <v>286</v>
      </c>
      <c r="B139" s="1" t="s">
        <v>178</v>
      </c>
      <c r="C139" s="1" t="s">
        <v>194</v>
      </c>
      <c r="D139" s="1">
        <f>COUNTIF(Tabela1[Team],Tabela2[[#This Row],[Team]])</f>
        <v>0</v>
      </c>
      <c r="E139" s="1">
        <f>Tabela2[[#This Row],[Number Players]]-Tabela2[[#This Row],[Total Players]]</f>
        <v>0</v>
      </c>
      <c r="F139" s="1"/>
    </row>
    <row r="140" spans="1:6" x14ac:dyDescent="0.3">
      <c r="A140" s="1" t="s">
        <v>284</v>
      </c>
      <c r="B140" s="1" t="s">
        <v>149</v>
      </c>
      <c r="C140" s="1" t="s">
        <v>194</v>
      </c>
      <c r="D140" s="1">
        <f>COUNTIF(Tabela1[Team],Tabela2[[#This Row],[Team]])</f>
        <v>0</v>
      </c>
      <c r="E140" s="1">
        <f>Tabela2[[#This Row],[Number Players]]-Tabela2[[#This Row],[Total Players]]</f>
        <v>0</v>
      </c>
      <c r="F140" s="1"/>
    </row>
    <row r="141" spans="1:6" x14ac:dyDescent="0.3">
      <c r="A141" s="1" t="s">
        <v>282</v>
      </c>
      <c r="B141" s="1" t="s">
        <v>178</v>
      </c>
      <c r="C141" s="1" t="s">
        <v>194</v>
      </c>
      <c r="D141" s="1">
        <f>COUNTIF(Tabela1[Team],Tabela2[[#This Row],[Team]])</f>
        <v>0</v>
      </c>
      <c r="E141" s="1">
        <f>Tabela2[[#This Row],[Number Players]]-Tabela2[[#This Row],[Total Players]]</f>
        <v>0</v>
      </c>
      <c r="F141" s="1"/>
    </row>
    <row r="142" spans="1:6" x14ac:dyDescent="0.3">
      <c r="A142" s="1" t="s">
        <v>283</v>
      </c>
      <c r="B142" s="1" t="s">
        <v>149</v>
      </c>
      <c r="C142" s="1" t="s">
        <v>194</v>
      </c>
      <c r="D142" s="1">
        <f>COUNTIF(Tabela1[Team],Tabela2[[#This Row],[Team]])</f>
        <v>0</v>
      </c>
      <c r="E142" s="1">
        <f>Tabela2[[#This Row],[Number Players]]-Tabela2[[#This Row],[Total Players]]</f>
        <v>0</v>
      </c>
      <c r="F142" s="1"/>
    </row>
    <row r="143" spans="1:6" x14ac:dyDescent="0.3">
      <c r="A143" s="1" t="s">
        <v>288</v>
      </c>
      <c r="B143" s="1" t="s">
        <v>162</v>
      </c>
      <c r="C143" s="1" t="s">
        <v>194</v>
      </c>
      <c r="D143" s="1">
        <f>COUNTIF(Tabela1[Team],Tabela2[[#This Row],[Team]])</f>
        <v>0</v>
      </c>
      <c r="E143" s="1">
        <f>Tabela2[[#This Row],[Number Players]]-Tabela2[[#This Row],[Total Players]]</f>
        <v>0</v>
      </c>
      <c r="F143" s="1"/>
    </row>
    <row r="144" spans="1:6" x14ac:dyDescent="0.3">
      <c r="A144" s="1" t="s">
        <v>287</v>
      </c>
      <c r="B144" s="1" t="s">
        <v>162</v>
      </c>
      <c r="C144" s="1" t="s">
        <v>194</v>
      </c>
      <c r="D144" s="1">
        <f>COUNTIF(Tabela1[Team],Tabela2[[#This Row],[Team]])</f>
        <v>0</v>
      </c>
      <c r="E144" s="1">
        <f>Tabela2[[#This Row],[Number Players]]-Tabela2[[#This Row],[Total Players]]</f>
        <v>0</v>
      </c>
      <c r="F144" s="1"/>
    </row>
    <row r="145" spans="1:6" x14ac:dyDescent="0.3">
      <c r="A145" s="1" t="s">
        <v>410</v>
      </c>
      <c r="B145" s="1" t="s">
        <v>154</v>
      </c>
      <c r="C145" s="1" t="s">
        <v>27</v>
      </c>
      <c r="D145" s="1">
        <f>COUNTIF(Tabela1[Team],Tabela2[[#This Row],[Team]])</f>
        <v>0</v>
      </c>
      <c r="E145" s="1">
        <f>Tabela2[[#This Row],[Number Players]]-Tabela2[[#This Row],[Total Players]]</f>
        <v>0</v>
      </c>
      <c r="F145" s="1"/>
    </row>
    <row r="146" spans="1:6" x14ac:dyDescent="0.3">
      <c r="A146" s="1" t="s">
        <v>426</v>
      </c>
      <c r="B146" s="1" t="s">
        <v>176</v>
      </c>
      <c r="C146" s="1" t="s">
        <v>27</v>
      </c>
      <c r="D146" s="1">
        <f>COUNTIF(Tabela1[Team],Tabela2[[#This Row],[Team]])</f>
        <v>0</v>
      </c>
      <c r="E146" s="1">
        <f>Tabela2[[#This Row],[Number Players]]-Tabela2[[#This Row],[Total Players]]</f>
        <v>0</v>
      </c>
      <c r="F146" s="1"/>
    </row>
    <row r="147" spans="1:6" x14ac:dyDescent="0.3">
      <c r="A147" s="1" t="s">
        <v>427</v>
      </c>
      <c r="B147" s="1" t="s">
        <v>431</v>
      </c>
      <c r="C147" s="1" t="s">
        <v>27</v>
      </c>
      <c r="D147" s="1">
        <f>COUNTIF(Tabela1[Team],Tabela2[[#This Row],[Team]])</f>
        <v>0</v>
      </c>
      <c r="E147" s="1">
        <f>Tabela2[[#This Row],[Number Players]]-Tabela2[[#This Row],[Total Players]]</f>
        <v>0</v>
      </c>
      <c r="F147" s="1"/>
    </row>
    <row r="148" spans="1:6" x14ac:dyDescent="0.3">
      <c r="A148" s="1" t="s">
        <v>428</v>
      </c>
      <c r="B148" s="1" t="s">
        <v>145</v>
      </c>
      <c r="C148" s="1" t="s">
        <v>27</v>
      </c>
      <c r="D148" s="1">
        <f>COUNTIF(Tabela1[Team],Tabela2[[#This Row],[Team]])</f>
        <v>0</v>
      </c>
      <c r="E148" s="1">
        <f>Tabela2[[#This Row],[Number Players]]-Tabela2[[#This Row],[Total Players]]</f>
        <v>0</v>
      </c>
      <c r="F148" s="1"/>
    </row>
    <row r="149" spans="1:6" x14ac:dyDescent="0.3">
      <c r="A149" s="1" t="s">
        <v>412</v>
      </c>
      <c r="B149" s="1" t="s">
        <v>151</v>
      </c>
      <c r="C149" s="1" t="s">
        <v>27</v>
      </c>
      <c r="D149" s="1">
        <f>COUNTIF(Tabela1[Team],Tabela2[[#This Row],[Team]])</f>
        <v>0</v>
      </c>
      <c r="E149" s="1">
        <f>Tabela2[[#This Row],[Number Players]]-Tabela2[[#This Row],[Total Players]]</f>
        <v>0</v>
      </c>
      <c r="F149" s="1"/>
    </row>
    <row r="150" spans="1:6" x14ac:dyDescent="0.3">
      <c r="A150" s="1" t="s">
        <v>429</v>
      </c>
      <c r="B150" s="1" t="s">
        <v>430</v>
      </c>
      <c r="C150" s="1" t="s">
        <v>27</v>
      </c>
      <c r="D150" s="1">
        <f>COUNTIF(Tabela1[Team],Tabela2[[#This Row],[Team]])</f>
        <v>0</v>
      </c>
      <c r="E150" s="1">
        <f>Tabela2[[#This Row],[Number Players]]-Tabela2[[#This Row],[Total Players]]</f>
        <v>0</v>
      </c>
      <c r="F150" s="1"/>
    </row>
    <row r="151" spans="1:6" x14ac:dyDescent="0.3">
      <c r="A151" s="1" t="s">
        <v>408</v>
      </c>
      <c r="B151" s="1" t="s">
        <v>148</v>
      </c>
      <c r="C151" s="1" t="s">
        <v>27</v>
      </c>
      <c r="D151" s="1">
        <f>COUNTIF(Tabela1[Team],Tabela2[[#This Row],[Team]])</f>
        <v>0</v>
      </c>
      <c r="E151" s="1">
        <f>Tabela2[[#This Row],[Number Players]]-Tabela2[[#This Row],[Total Players]]</f>
        <v>0</v>
      </c>
      <c r="F151" s="1"/>
    </row>
    <row r="152" spans="1:6" x14ac:dyDescent="0.3">
      <c r="A152" s="1" t="s">
        <v>425</v>
      </c>
      <c r="B152" s="1" t="s">
        <v>144</v>
      </c>
      <c r="C152" s="1" t="s">
        <v>27</v>
      </c>
      <c r="D152" s="1">
        <f>COUNTIF(Tabela1[Team],Tabela2[[#This Row],[Team]])</f>
        <v>0</v>
      </c>
      <c r="E152" s="1">
        <f>Tabela2[[#This Row],[Number Players]]-Tabela2[[#This Row],[Total Players]]</f>
        <v>0</v>
      </c>
      <c r="F152" s="1"/>
    </row>
    <row r="153" spans="1:6" x14ac:dyDescent="0.3">
      <c r="A153" s="1" t="s">
        <v>424</v>
      </c>
      <c r="B153" s="1" t="s">
        <v>150</v>
      </c>
      <c r="C153" s="1" t="s">
        <v>27</v>
      </c>
      <c r="D153" s="1">
        <f>COUNTIF(Tabela1[Team],Tabela2[[#This Row],[Team]])</f>
        <v>0</v>
      </c>
      <c r="E153" s="1">
        <f>Tabela2[[#This Row],[Number Players]]-Tabela2[[#This Row],[Total Players]]</f>
        <v>0</v>
      </c>
      <c r="F153" s="1"/>
    </row>
    <row r="154" spans="1:6" x14ac:dyDescent="0.3">
      <c r="A154" s="1" t="s">
        <v>409</v>
      </c>
      <c r="B154" s="1" t="s">
        <v>148</v>
      </c>
      <c r="C154" s="1" t="s">
        <v>27</v>
      </c>
      <c r="D154" s="1">
        <f>COUNTIF(Tabela1[Team],Tabela2[[#This Row],[Team]])</f>
        <v>0</v>
      </c>
      <c r="E154" s="1">
        <f>Tabela2[[#This Row],[Number Players]]-Tabela2[[#This Row],[Total Players]]</f>
        <v>0</v>
      </c>
      <c r="F154" s="1"/>
    </row>
    <row r="155" spans="1:6" x14ac:dyDescent="0.3">
      <c r="A155" s="1" t="s">
        <v>291</v>
      </c>
      <c r="B155" s="1" t="s">
        <v>414</v>
      </c>
      <c r="C155" s="1" t="s">
        <v>195</v>
      </c>
      <c r="D155" s="1">
        <f>COUNTIF(Tabela1[Team],Tabela2[[#This Row],[Team]])</f>
        <v>0</v>
      </c>
      <c r="E155" s="1">
        <f>Tabela2[[#This Row],[Number Players]]-Tabela2[[#This Row],[Total Players]]</f>
        <v>0</v>
      </c>
      <c r="F155" s="1"/>
    </row>
    <row r="156" spans="1:6" x14ac:dyDescent="0.3">
      <c r="A156" s="1" t="s">
        <v>297</v>
      </c>
      <c r="B156" s="1" t="s">
        <v>160</v>
      </c>
      <c r="C156" s="1" t="s">
        <v>195</v>
      </c>
      <c r="D156" s="1">
        <f>COUNTIF(Tabela1[Team],Tabela2[[#This Row],[Team]])</f>
        <v>0</v>
      </c>
      <c r="E156" s="1">
        <f>Tabela2[[#This Row],[Number Players]]-Tabela2[[#This Row],[Total Players]]</f>
        <v>0</v>
      </c>
      <c r="F156" s="1"/>
    </row>
    <row r="157" spans="1:6" x14ac:dyDescent="0.3">
      <c r="A157" s="1" t="s">
        <v>295</v>
      </c>
      <c r="B157" s="1" t="s">
        <v>160</v>
      </c>
      <c r="C157" s="1" t="s">
        <v>195</v>
      </c>
      <c r="D157" s="1">
        <f>COUNTIF(Tabela1[Team],Tabela2[[#This Row],[Team]])</f>
        <v>0</v>
      </c>
      <c r="E157" s="1">
        <f>Tabela2[[#This Row],[Number Players]]-Tabela2[[#This Row],[Total Players]]</f>
        <v>0</v>
      </c>
      <c r="F157" s="1"/>
    </row>
    <row r="158" spans="1:6" x14ac:dyDescent="0.3">
      <c r="A158" s="1" t="s">
        <v>296</v>
      </c>
      <c r="B158" s="1" t="s">
        <v>415</v>
      </c>
      <c r="C158" s="1" t="s">
        <v>195</v>
      </c>
      <c r="D158" s="1">
        <f>COUNTIF(Tabela1[Team],Tabela2[[#This Row],[Team]])</f>
        <v>0</v>
      </c>
      <c r="E158" s="1">
        <f>Tabela2[[#This Row],[Number Players]]-Tabela2[[#This Row],[Total Players]]</f>
        <v>0</v>
      </c>
      <c r="F158" s="1"/>
    </row>
    <row r="159" spans="1:6" x14ac:dyDescent="0.3">
      <c r="A159" s="1" t="s">
        <v>294</v>
      </c>
      <c r="B159" s="1" t="s">
        <v>166</v>
      </c>
      <c r="C159" s="1" t="s">
        <v>195</v>
      </c>
      <c r="D159" s="1">
        <f>COUNTIF(Tabela1[Team],Tabela2[[#This Row],[Team]])</f>
        <v>0</v>
      </c>
      <c r="E159" s="1">
        <f>Tabela2[[#This Row],[Number Players]]-Tabela2[[#This Row],[Total Players]]</f>
        <v>0</v>
      </c>
      <c r="F159" s="1"/>
    </row>
    <row r="160" spans="1:6" x14ac:dyDescent="0.3">
      <c r="A160" s="1" t="s">
        <v>290</v>
      </c>
      <c r="B160" s="1" t="s">
        <v>161</v>
      </c>
      <c r="C160" s="1" t="s">
        <v>195</v>
      </c>
      <c r="D160" s="1">
        <f>COUNTIF(Tabela1[Team],Tabela2[[#This Row],[Team]])</f>
        <v>0</v>
      </c>
      <c r="E160" s="1">
        <f>Tabela2[[#This Row],[Number Players]]-Tabela2[[#This Row],[Total Players]]</f>
        <v>0</v>
      </c>
      <c r="F160" s="1"/>
    </row>
    <row r="161" spans="1:6" x14ac:dyDescent="0.3">
      <c r="A161" s="1" t="s">
        <v>292</v>
      </c>
      <c r="B161" s="1" t="s">
        <v>184</v>
      </c>
      <c r="C161" s="1" t="s">
        <v>195</v>
      </c>
      <c r="D161" s="1">
        <f>COUNTIF(Tabela1[Team],Tabela2[[#This Row],[Team]])</f>
        <v>0</v>
      </c>
      <c r="E161" s="1">
        <f>Tabela2[[#This Row],[Number Players]]-Tabela2[[#This Row],[Total Players]]</f>
        <v>0</v>
      </c>
      <c r="F161" s="1"/>
    </row>
    <row r="162" spans="1:6" x14ac:dyDescent="0.3">
      <c r="A162" s="1" t="s">
        <v>293</v>
      </c>
      <c r="B162" s="1" t="s">
        <v>146</v>
      </c>
      <c r="C162" s="1" t="s">
        <v>195</v>
      </c>
      <c r="D162" s="1">
        <f>COUNTIF(Tabela1[Team],Tabela2[[#This Row],[Team]])</f>
        <v>0</v>
      </c>
      <c r="E162" s="1">
        <f>Tabela2[[#This Row],[Number Players]]-Tabela2[[#This Row],[Total Players]]</f>
        <v>0</v>
      </c>
      <c r="F162" s="1"/>
    </row>
    <row r="163" spans="1:6" x14ac:dyDescent="0.3">
      <c r="A163" s="1" t="s">
        <v>306</v>
      </c>
      <c r="B163" s="1" t="s">
        <v>160</v>
      </c>
      <c r="C163" s="1" t="s">
        <v>196</v>
      </c>
      <c r="D163" s="1">
        <f>COUNTIF(Tabela1[Team],Tabela2[[#This Row],[Team]])</f>
        <v>0</v>
      </c>
      <c r="E163" s="1">
        <f>Tabela2[[#This Row],[Number Players]]-Tabela2[[#This Row],[Total Players]]</f>
        <v>0</v>
      </c>
      <c r="F163" s="1"/>
    </row>
    <row r="164" spans="1:6" x14ac:dyDescent="0.3">
      <c r="A164" s="1" t="s">
        <v>299</v>
      </c>
      <c r="B164" s="1" t="s">
        <v>146</v>
      </c>
      <c r="C164" s="1" t="s">
        <v>196</v>
      </c>
      <c r="D164" s="1">
        <f>COUNTIF(Tabela1[Team],Tabela2[[#This Row],[Team]])</f>
        <v>0</v>
      </c>
      <c r="E164" s="1">
        <f>Tabela2[[#This Row],[Number Players]]-Tabela2[[#This Row],[Total Players]]</f>
        <v>0</v>
      </c>
      <c r="F164" s="1"/>
    </row>
    <row r="165" spans="1:6" x14ac:dyDescent="0.3">
      <c r="A165" s="1" t="s">
        <v>302</v>
      </c>
      <c r="B165" s="1" t="s">
        <v>160</v>
      </c>
      <c r="C165" s="1" t="s">
        <v>196</v>
      </c>
      <c r="D165" s="1">
        <f>COUNTIF(Tabela1[Team],Tabela2[[#This Row],[Team]])</f>
        <v>0</v>
      </c>
      <c r="E165" s="1">
        <f>Tabela2[[#This Row],[Number Players]]-Tabela2[[#This Row],[Total Players]]</f>
        <v>0</v>
      </c>
      <c r="F165" s="1"/>
    </row>
    <row r="166" spans="1:6" x14ac:dyDescent="0.3">
      <c r="A166" s="1" t="s">
        <v>307</v>
      </c>
      <c r="B166" s="1" t="s">
        <v>170</v>
      </c>
      <c r="C166" s="1" t="s">
        <v>196</v>
      </c>
      <c r="D166" s="1">
        <f>COUNTIF(Tabela1[Team],Tabela2[[#This Row],[Team]])</f>
        <v>0</v>
      </c>
      <c r="E166" s="1">
        <f>Tabela2[[#This Row],[Number Players]]-Tabela2[[#This Row],[Total Players]]</f>
        <v>0</v>
      </c>
      <c r="F166" s="1"/>
    </row>
    <row r="167" spans="1:6" x14ac:dyDescent="0.3">
      <c r="A167" s="1" t="s">
        <v>298</v>
      </c>
      <c r="B167" s="1" t="s">
        <v>160</v>
      </c>
      <c r="C167" s="1" t="s">
        <v>196</v>
      </c>
      <c r="D167" s="1">
        <f>COUNTIF(Tabela1[Team],Tabela2[[#This Row],[Team]])</f>
        <v>0</v>
      </c>
      <c r="E167" s="1">
        <f>Tabela2[[#This Row],[Number Players]]-Tabela2[[#This Row],[Total Players]]</f>
        <v>0</v>
      </c>
      <c r="F167" s="1"/>
    </row>
    <row r="168" spans="1:6" x14ac:dyDescent="0.3">
      <c r="A168" s="1" t="s">
        <v>303</v>
      </c>
      <c r="B168" s="1" t="s">
        <v>160</v>
      </c>
      <c r="C168" s="1" t="s">
        <v>196</v>
      </c>
      <c r="D168" s="1">
        <f>COUNTIF(Tabela1[Team],Tabela2[[#This Row],[Team]])</f>
        <v>0</v>
      </c>
      <c r="E168" s="1">
        <f>Tabela2[[#This Row],[Number Players]]-Tabela2[[#This Row],[Total Players]]</f>
        <v>0</v>
      </c>
      <c r="F168" s="1"/>
    </row>
    <row r="169" spans="1:6" x14ac:dyDescent="0.3">
      <c r="A169" s="1" t="s">
        <v>301</v>
      </c>
      <c r="B169" s="1" t="s">
        <v>160</v>
      </c>
      <c r="C169" s="1" t="s">
        <v>196</v>
      </c>
      <c r="D169" s="1">
        <f>COUNTIF(Tabela1[Team],Tabela2[[#This Row],[Team]])</f>
        <v>0</v>
      </c>
      <c r="E169" s="1">
        <f>Tabela2[[#This Row],[Number Players]]-Tabela2[[#This Row],[Total Players]]</f>
        <v>0</v>
      </c>
      <c r="F169" s="1"/>
    </row>
    <row r="170" spans="1:6" x14ac:dyDescent="0.3">
      <c r="A170" s="1" t="s">
        <v>304</v>
      </c>
      <c r="B170" s="1" t="s">
        <v>184</v>
      </c>
      <c r="C170" s="1" t="s">
        <v>196</v>
      </c>
      <c r="D170" s="1">
        <f>COUNTIF(Tabela1[Team],Tabela2[[#This Row],[Team]])</f>
        <v>0</v>
      </c>
      <c r="E170" s="1">
        <f>Tabela2[[#This Row],[Number Players]]-Tabela2[[#This Row],[Total Players]]</f>
        <v>0</v>
      </c>
      <c r="F170" s="1"/>
    </row>
    <row r="171" spans="1:6" x14ac:dyDescent="0.3">
      <c r="A171" s="1" t="s">
        <v>305</v>
      </c>
      <c r="B171" s="1" t="s">
        <v>184</v>
      </c>
      <c r="C171" s="1" t="s">
        <v>196</v>
      </c>
      <c r="D171" s="1">
        <f>COUNTIF(Tabela1[Team],Tabela2[[#This Row],[Team]])</f>
        <v>0</v>
      </c>
      <c r="E171" s="1">
        <f>Tabela2[[#This Row],[Number Players]]-Tabela2[[#This Row],[Total Players]]</f>
        <v>0</v>
      </c>
      <c r="F171" s="1"/>
    </row>
    <row r="172" spans="1:6" x14ac:dyDescent="0.3">
      <c r="A172" s="1" t="s">
        <v>300</v>
      </c>
      <c r="B172" s="1" t="s">
        <v>160</v>
      </c>
      <c r="C172" s="1" t="s">
        <v>196</v>
      </c>
      <c r="D172" s="1">
        <f>COUNTIF(Tabela1[Team],Tabela2[[#This Row],[Team]])</f>
        <v>0</v>
      </c>
      <c r="E172" s="1">
        <f>Tabela2[[#This Row],[Number Players]]-Tabela2[[#This Row],[Total Players]]</f>
        <v>0</v>
      </c>
      <c r="F172" s="1"/>
    </row>
    <row r="173" spans="1:6" x14ac:dyDescent="0.3">
      <c r="A173" s="1" t="s">
        <v>80</v>
      </c>
      <c r="B173" s="1" t="s">
        <v>162</v>
      </c>
      <c r="C173" s="1" t="s">
        <v>21</v>
      </c>
      <c r="D173" s="1">
        <f>COUNTIF(Tabela1[Team],Tabela2[[#This Row],[Team]])</f>
        <v>0</v>
      </c>
      <c r="E173" s="1">
        <f>Tabela2[[#This Row],[Number Players]]-Tabela2[[#This Row],[Total Players]]</f>
        <v>0</v>
      </c>
      <c r="F173" s="1"/>
    </row>
    <row r="174" spans="1:6" x14ac:dyDescent="0.3">
      <c r="A174" s="1" t="s">
        <v>91</v>
      </c>
      <c r="B174" s="1" t="s">
        <v>154</v>
      </c>
      <c r="C174" s="1" t="s">
        <v>21</v>
      </c>
      <c r="D174" s="1">
        <f>COUNTIF(Tabela1[Team],Tabela2[[#This Row],[Team]])</f>
        <v>0</v>
      </c>
      <c r="E174" s="1">
        <f>Tabela2[[#This Row],[Number Players]]-Tabela2[[#This Row],[Total Players]]</f>
        <v>0</v>
      </c>
      <c r="F174" s="1"/>
    </row>
    <row r="175" spans="1:6" x14ac:dyDescent="0.3">
      <c r="A175" s="1" t="s">
        <v>88</v>
      </c>
      <c r="B175" s="1" t="s">
        <v>162</v>
      </c>
      <c r="C175" s="1" t="s">
        <v>21</v>
      </c>
      <c r="D175" s="1">
        <f>COUNTIF(Tabela1[Team],Tabela2[[#This Row],[Team]])</f>
        <v>0</v>
      </c>
      <c r="E175" s="1">
        <f>Tabela2[[#This Row],[Number Players]]-Tabela2[[#This Row],[Total Players]]</f>
        <v>0</v>
      </c>
      <c r="F175" s="1"/>
    </row>
    <row r="176" spans="1:6" x14ac:dyDescent="0.3">
      <c r="A176" s="1" t="s">
        <v>84</v>
      </c>
      <c r="B176" s="1" t="s">
        <v>160</v>
      </c>
      <c r="C176" s="1" t="s">
        <v>21</v>
      </c>
      <c r="D176" s="1">
        <f>COUNTIF(Tabela1[Team],Tabela2[[#This Row],[Team]])</f>
        <v>0</v>
      </c>
      <c r="E176" s="1">
        <f>Tabela2[[#This Row],[Number Players]]-Tabela2[[#This Row],[Total Players]]</f>
        <v>0</v>
      </c>
      <c r="F176" s="1"/>
    </row>
    <row r="177" spans="1:6" x14ac:dyDescent="0.3">
      <c r="A177" s="1" t="s">
        <v>90</v>
      </c>
      <c r="B177" s="1" t="s">
        <v>167</v>
      </c>
      <c r="C177" s="1" t="s">
        <v>21</v>
      </c>
      <c r="D177" s="1">
        <f>COUNTIF(Tabela1[Team],Tabela2[[#This Row],[Team]])</f>
        <v>0</v>
      </c>
      <c r="E177" s="1">
        <f>Tabela2[[#This Row],[Number Players]]-Tabela2[[#This Row],[Total Players]]</f>
        <v>0</v>
      </c>
      <c r="F177" s="1"/>
    </row>
    <row r="178" spans="1:6" x14ac:dyDescent="0.3">
      <c r="A178" s="1" t="s">
        <v>89</v>
      </c>
      <c r="B178" s="1" t="s">
        <v>167</v>
      </c>
      <c r="C178" s="1" t="s">
        <v>21</v>
      </c>
      <c r="D178" s="1">
        <f>COUNTIF(Tabela1[Team],Tabela2[[#This Row],[Team]])</f>
        <v>0</v>
      </c>
      <c r="E178" s="1">
        <f>Tabela2[[#This Row],[Number Players]]-Tabela2[[#This Row],[Total Players]]</f>
        <v>0</v>
      </c>
      <c r="F178" s="1"/>
    </row>
    <row r="179" spans="1:6" x14ac:dyDescent="0.3">
      <c r="A179" s="1" t="s">
        <v>82</v>
      </c>
      <c r="B179" s="1" t="s">
        <v>162</v>
      </c>
      <c r="C179" s="1" t="s">
        <v>21</v>
      </c>
      <c r="D179" s="1">
        <f>COUNTIF(Tabela1[Team],Tabela2[[#This Row],[Team]])</f>
        <v>0</v>
      </c>
      <c r="E179" s="1">
        <f>Tabela2[[#This Row],[Number Players]]-Tabela2[[#This Row],[Total Players]]</f>
        <v>0</v>
      </c>
      <c r="F179" s="1"/>
    </row>
    <row r="180" spans="1:6" x14ac:dyDescent="0.3">
      <c r="A180" s="1" t="s">
        <v>79</v>
      </c>
      <c r="B180" s="1" t="s">
        <v>162</v>
      </c>
      <c r="C180" s="1" t="s">
        <v>21</v>
      </c>
      <c r="D180" s="1">
        <f>COUNTIF(Tabela1[Team],Tabela2[[#This Row],[Team]])</f>
        <v>0</v>
      </c>
      <c r="E180" s="1">
        <f>Tabela2[[#This Row],[Number Players]]-Tabela2[[#This Row],[Total Players]]</f>
        <v>0</v>
      </c>
      <c r="F180" s="1"/>
    </row>
    <row r="181" spans="1:6" x14ac:dyDescent="0.3">
      <c r="A181" s="1" t="s">
        <v>87</v>
      </c>
      <c r="B181" s="1" t="s">
        <v>149</v>
      </c>
      <c r="C181" s="1" t="s">
        <v>21</v>
      </c>
      <c r="D181" s="1">
        <f>COUNTIF(Tabela1[Team],Tabela2[[#This Row],[Team]])</f>
        <v>0</v>
      </c>
      <c r="E181" s="1">
        <f>Tabela2[[#This Row],[Number Players]]-Tabela2[[#This Row],[Total Players]]</f>
        <v>0</v>
      </c>
      <c r="F181" s="1"/>
    </row>
    <row r="182" spans="1:6" x14ac:dyDescent="0.3">
      <c r="A182" s="1" t="s">
        <v>83</v>
      </c>
      <c r="B182" s="1" t="s">
        <v>162</v>
      </c>
      <c r="C182" s="1" t="s">
        <v>21</v>
      </c>
      <c r="D182" s="1">
        <f>COUNTIF(Tabela1[Team],Tabela2[[#This Row],[Team]])</f>
        <v>0</v>
      </c>
      <c r="E182" s="1">
        <f>Tabela2[[#This Row],[Number Players]]-Tabela2[[#This Row],[Total Players]]</f>
        <v>0</v>
      </c>
      <c r="F182" s="1"/>
    </row>
    <row r="183" spans="1:6" x14ac:dyDescent="0.3">
      <c r="A183" s="1" t="s">
        <v>86</v>
      </c>
      <c r="B183" s="1" t="s">
        <v>162</v>
      </c>
      <c r="C183" s="1" t="s">
        <v>21</v>
      </c>
      <c r="D183" s="1">
        <f>COUNTIF(Tabela1[Team],Tabela2[[#This Row],[Team]])</f>
        <v>0</v>
      </c>
      <c r="E183" s="1">
        <f>Tabela2[[#This Row],[Number Players]]-Tabela2[[#This Row],[Total Players]]</f>
        <v>0</v>
      </c>
      <c r="F183" s="1"/>
    </row>
    <row r="184" spans="1:6" x14ac:dyDescent="0.3">
      <c r="A184" s="1" t="s">
        <v>92</v>
      </c>
      <c r="B184" s="1" t="s">
        <v>167</v>
      </c>
      <c r="C184" s="1" t="s">
        <v>21</v>
      </c>
      <c r="D184" s="1">
        <f>COUNTIF(Tabela1[Team],Tabela2[[#This Row],[Team]])</f>
        <v>0</v>
      </c>
      <c r="E184" s="1">
        <f>Tabela2[[#This Row],[Number Players]]-Tabela2[[#This Row],[Total Players]]</f>
        <v>0</v>
      </c>
      <c r="F184" s="1"/>
    </row>
    <row r="185" spans="1:6" x14ac:dyDescent="0.3">
      <c r="A185" s="1" t="s">
        <v>407</v>
      </c>
      <c r="B185" s="1" t="s">
        <v>158</v>
      </c>
      <c r="C185" s="1" t="s">
        <v>197</v>
      </c>
      <c r="D185" s="1">
        <f>COUNTIF(Tabela1[Team],Tabela2[[#This Row],[Team]])</f>
        <v>0</v>
      </c>
      <c r="E185" s="1">
        <f>Tabela2[[#This Row],[Number Players]]-Tabela2[[#This Row],[Total Players]]</f>
        <v>0</v>
      </c>
      <c r="F185" s="1"/>
    </row>
    <row r="186" spans="1:6" x14ac:dyDescent="0.3">
      <c r="A186" s="1" t="s">
        <v>314</v>
      </c>
      <c r="B186" s="1" t="s">
        <v>149</v>
      </c>
      <c r="C186" s="1" t="s">
        <v>197</v>
      </c>
      <c r="D186" s="1">
        <f>COUNTIF(Tabela1[Team],Tabela2[[#This Row],[Team]])</f>
        <v>0</v>
      </c>
      <c r="E186" s="1">
        <f>Tabela2[[#This Row],[Number Players]]-Tabela2[[#This Row],[Total Players]]</f>
        <v>0</v>
      </c>
      <c r="F186" s="1"/>
    </row>
    <row r="187" spans="1:6" x14ac:dyDescent="0.3">
      <c r="A187" s="1" t="s">
        <v>309</v>
      </c>
      <c r="B187" s="1" t="s">
        <v>154</v>
      </c>
      <c r="C187" s="1" t="s">
        <v>197</v>
      </c>
      <c r="D187" s="1">
        <f>COUNTIF(Tabela1[Team],Tabela2[[#This Row],[Team]])</f>
        <v>0</v>
      </c>
      <c r="E187" s="1">
        <f>Tabela2[[#This Row],[Number Players]]-Tabela2[[#This Row],[Total Players]]</f>
        <v>0</v>
      </c>
      <c r="F187" s="1"/>
    </row>
    <row r="188" spans="1:6" x14ac:dyDescent="0.3">
      <c r="A188" s="1" t="s">
        <v>423</v>
      </c>
      <c r="B188" s="1" t="s">
        <v>171</v>
      </c>
      <c r="C188" s="1" t="s">
        <v>197</v>
      </c>
      <c r="D188" s="1">
        <f>COUNTIF(Tabela1[Team],Tabela2[[#This Row],[Team]])</f>
        <v>0</v>
      </c>
      <c r="E188" s="1">
        <f>Tabela2[[#This Row],[Number Players]]-Tabela2[[#This Row],[Total Players]]</f>
        <v>0</v>
      </c>
      <c r="F188" s="1"/>
    </row>
    <row r="189" spans="1:6" x14ac:dyDescent="0.3">
      <c r="A189" s="1" t="s">
        <v>310</v>
      </c>
      <c r="B189" s="1" t="s">
        <v>167</v>
      </c>
      <c r="C189" s="1" t="s">
        <v>197</v>
      </c>
      <c r="D189" s="1">
        <f>COUNTIF(Tabela1[Team],Tabela2[[#This Row],[Team]])</f>
        <v>0</v>
      </c>
      <c r="E189" s="1">
        <f>Tabela2[[#This Row],[Number Players]]-Tabela2[[#This Row],[Total Players]]</f>
        <v>0</v>
      </c>
      <c r="F189" s="1"/>
    </row>
    <row r="190" spans="1:6" x14ac:dyDescent="0.3">
      <c r="A190" s="1" t="s">
        <v>311</v>
      </c>
      <c r="B190" s="1" t="s">
        <v>174</v>
      </c>
      <c r="C190" s="1" t="s">
        <v>197</v>
      </c>
      <c r="D190" s="1">
        <f>COUNTIF(Tabela1[Team],Tabela2[[#This Row],[Team]])</f>
        <v>0</v>
      </c>
      <c r="E190" s="1">
        <f>Tabela2[[#This Row],[Number Players]]-Tabela2[[#This Row],[Total Players]]</f>
        <v>0</v>
      </c>
      <c r="F190" s="1"/>
    </row>
    <row r="191" spans="1:6" x14ac:dyDescent="0.3">
      <c r="A191" s="1" t="s">
        <v>312</v>
      </c>
      <c r="B191" s="1" t="s">
        <v>150</v>
      </c>
      <c r="C191" s="1" t="s">
        <v>197</v>
      </c>
      <c r="D191" s="1">
        <f>COUNTIF(Tabela1[Team],Tabela2[[#This Row],[Team]])</f>
        <v>0</v>
      </c>
      <c r="E191" s="1">
        <f>Tabela2[[#This Row],[Number Players]]-Tabela2[[#This Row],[Total Players]]</f>
        <v>0</v>
      </c>
      <c r="F191" s="1"/>
    </row>
    <row r="192" spans="1:6" x14ac:dyDescent="0.3">
      <c r="A192" s="1" t="s">
        <v>308</v>
      </c>
      <c r="B192" s="1" t="s">
        <v>154</v>
      </c>
      <c r="C192" s="1" t="s">
        <v>197</v>
      </c>
      <c r="D192" s="1">
        <f>COUNTIF(Tabela1[Team],Tabela2[[#This Row],[Team]])</f>
        <v>0</v>
      </c>
      <c r="E192" s="1">
        <f>Tabela2[[#This Row],[Number Players]]-Tabela2[[#This Row],[Total Players]]</f>
        <v>0</v>
      </c>
      <c r="F192" s="1"/>
    </row>
    <row r="193" spans="1:6" x14ac:dyDescent="0.3">
      <c r="A193" s="1" t="s">
        <v>313</v>
      </c>
      <c r="B193" s="1" t="s">
        <v>149</v>
      </c>
      <c r="C193" s="1" t="s">
        <v>197</v>
      </c>
      <c r="D193" s="1">
        <f>COUNTIF(Tabela1[Team],Tabela2[[#This Row],[Team]])</f>
        <v>0</v>
      </c>
      <c r="E193" s="1">
        <f>Tabela2[[#This Row],[Number Players]]-Tabela2[[#This Row],[Total Players]]</f>
        <v>0</v>
      </c>
      <c r="F193" s="1"/>
    </row>
    <row r="194" spans="1:6" x14ac:dyDescent="0.3">
      <c r="A194" s="1" t="s">
        <v>323</v>
      </c>
      <c r="B194" s="1" t="s">
        <v>147</v>
      </c>
      <c r="C194" s="1" t="s">
        <v>198</v>
      </c>
      <c r="D194" s="1">
        <f>COUNTIF(Tabela1[Team],Tabela2[[#This Row],[Team]])</f>
        <v>0</v>
      </c>
      <c r="E194" s="1">
        <f>Tabela2[[#This Row],[Number Players]]-Tabela2[[#This Row],[Total Players]]</f>
        <v>0</v>
      </c>
      <c r="F194" s="1"/>
    </row>
    <row r="195" spans="1:6" x14ac:dyDescent="0.3">
      <c r="A195" s="1" t="s">
        <v>319</v>
      </c>
      <c r="B195" s="1" t="s">
        <v>170</v>
      </c>
      <c r="C195" s="1" t="s">
        <v>198</v>
      </c>
      <c r="D195" s="1">
        <f>COUNTIF(Tabela1[Team],Tabela2[[#This Row],[Team]])</f>
        <v>0</v>
      </c>
      <c r="E195" s="1">
        <f>Tabela2[[#This Row],[Number Players]]-Tabela2[[#This Row],[Total Players]]</f>
        <v>0</v>
      </c>
      <c r="F195" s="1"/>
    </row>
    <row r="196" spans="1:6" x14ac:dyDescent="0.3">
      <c r="A196" s="1" t="s">
        <v>317</v>
      </c>
      <c r="B196" s="1" t="s">
        <v>416</v>
      </c>
      <c r="C196" s="1" t="s">
        <v>198</v>
      </c>
      <c r="D196" s="1">
        <f>COUNTIF(Tabela1[Team],Tabela2[[#This Row],[Team]])</f>
        <v>0</v>
      </c>
      <c r="E196" s="1">
        <f>Tabela2[[#This Row],[Number Players]]-Tabela2[[#This Row],[Total Players]]</f>
        <v>0</v>
      </c>
      <c r="F196" s="1"/>
    </row>
    <row r="197" spans="1:6" x14ac:dyDescent="0.3">
      <c r="A197" s="1" t="s">
        <v>318</v>
      </c>
      <c r="B197" s="1" t="s">
        <v>147</v>
      </c>
      <c r="C197" s="1" t="s">
        <v>198</v>
      </c>
      <c r="D197" s="1">
        <f>COUNTIF(Tabela1[Team],Tabela2[[#This Row],[Team]])</f>
        <v>0</v>
      </c>
      <c r="E197" s="1">
        <f>Tabela2[[#This Row],[Number Players]]-Tabela2[[#This Row],[Total Players]]</f>
        <v>0</v>
      </c>
      <c r="F197" s="1"/>
    </row>
    <row r="198" spans="1:6" x14ac:dyDescent="0.3">
      <c r="A198" s="1" t="s">
        <v>316</v>
      </c>
      <c r="B198" s="1" t="s">
        <v>176</v>
      </c>
      <c r="C198" s="1" t="s">
        <v>198</v>
      </c>
      <c r="D198" s="1">
        <f>COUNTIF(Tabela1[Team],Tabela2[[#This Row],[Team]])</f>
        <v>0</v>
      </c>
      <c r="E198" s="1">
        <f>Tabela2[[#This Row],[Number Players]]-Tabela2[[#This Row],[Total Players]]</f>
        <v>0</v>
      </c>
      <c r="F198" s="1"/>
    </row>
    <row r="199" spans="1:6" x14ac:dyDescent="0.3">
      <c r="A199" s="1" t="s">
        <v>321</v>
      </c>
      <c r="B199" s="1" t="s">
        <v>413</v>
      </c>
      <c r="C199" s="1" t="s">
        <v>198</v>
      </c>
      <c r="D199" s="1">
        <f>COUNTIF(Tabela1[Team],Tabela2[[#This Row],[Team]])</f>
        <v>0</v>
      </c>
      <c r="E199" s="1">
        <f>Tabela2[[#This Row],[Number Players]]-Tabela2[[#This Row],[Total Players]]</f>
        <v>0</v>
      </c>
      <c r="F199" s="1"/>
    </row>
    <row r="200" spans="1:6" x14ac:dyDescent="0.3">
      <c r="A200" s="1" t="s">
        <v>324</v>
      </c>
      <c r="B200" s="1" t="s">
        <v>170</v>
      </c>
      <c r="C200" s="1" t="s">
        <v>198</v>
      </c>
      <c r="D200" s="1">
        <f>COUNTIF(Tabela1[Team],Tabela2[[#This Row],[Team]])</f>
        <v>0</v>
      </c>
      <c r="E200" s="1">
        <f>Tabela2[[#This Row],[Number Players]]-Tabela2[[#This Row],[Total Players]]</f>
        <v>0</v>
      </c>
      <c r="F200" s="1"/>
    </row>
    <row r="201" spans="1:6" x14ac:dyDescent="0.3">
      <c r="A201" s="1" t="s">
        <v>322</v>
      </c>
      <c r="B201" s="1" t="s">
        <v>170</v>
      </c>
      <c r="C201" s="1" t="s">
        <v>198</v>
      </c>
      <c r="D201" s="1">
        <f>COUNTIF(Tabela1[Team],Tabela2[[#This Row],[Team]])</f>
        <v>0</v>
      </c>
      <c r="E201" s="1">
        <f>Tabela2[[#This Row],[Number Players]]-Tabela2[[#This Row],[Total Players]]</f>
        <v>0</v>
      </c>
      <c r="F201" s="1"/>
    </row>
    <row r="202" spans="1:6" x14ac:dyDescent="0.3">
      <c r="A202" s="1" t="s">
        <v>320</v>
      </c>
      <c r="B202" s="1" t="s">
        <v>176</v>
      </c>
      <c r="C202" s="1" t="s">
        <v>198</v>
      </c>
      <c r="D202" s="1">
        <f>COUNTIF(Tabela1[Team],Tabela2[[#This Row],[Team]])</f>
        <v>0</v>
      </c>
      <c r="E202" s="1">
        <f>Tabela2[[#This Row],[Number Players]]-Tabela2[[#This Row],[Total Players]]</f>
        <v>0</v>
      </c>
      <c r="F202" s="1"/>
    </row>
    <row r="203" spans="1:6" x14ac:dyDescent="0.3">
      <c r="A203" s="1" t="s">
        <v>325</v>
      </c>
      <c r="B203" s="1" t="s">
        <v>169</v>
      </c>
      <c r="C203" s="1" t="s">
        <v>198</v>
      </c>
      <c r="D203" s="1">
        <f>COUNTIF(Tabela1[Team],Tabela2[[#This Row],[Team]])</f>
        <v>0</v>
      </c>
      <c r="E203" s="1">
        <f>Tabela2[[#This Row],[Number Players]]-Tabela2[[#This Row],[Total Players]]</f>
        <v>0</v>
      </c>
      <c r="F203" s="1"/>
    </row>
    <row r="204" spans="1:6" x14ac:dyDescent="0.3">
      <c r="A204" s="1" t="s">
        <v>315</v>
      </c>
      <c r="B204" s="1" t="s">
        <v>168</v>
      </c>
      <c r="C204" s="1" t="s">
        <v>198</v>
      </c>
      <c r="D204" s="1">
        <f>COUNTIF(Tabela1[Team],Tabela2[[#This Row],[Team]])</f>
        <v>0</v>
      </c>
      <c r="E204" s="1">
        <f>Tabela2[[#This Row],[Number Players]]-Tabela2[[#This Row],[Total Players]]</f>
        <v>0</v>
      </c>
      <c r="F204" s="1"/>
    </row>
    <row r="205" spans="1:6" x14ac:dyDescent="0.3">
      <c r="A205" s="1" t="s">
        <v>331</v>
      </c>
      <c r="B205" s="1" t="s">
        <v>149</v>
      </c>
      <c r="C205" s="1" t="s">
        <v>199</v>
      </c>
      <c r="D205" s="1">
        <f>COUNTIF(Tabela1[Team],Tabela2[[#This Row],[Team]])</f>
        <v>0</v>
      </c>
      <c r="E205" s="1">
        <f>Tabela2[[#This Row],[Number Players]]-Tabela2[[#This Row],[Total Players]]</f>
        <v>0</v>
      </c>
      <c r="F205" s="1"/>
    </row>
    <row r="206" spans="1:6" x14ac:dyDescent="0.3">
      <c r="A206" s="1" t="s">
        <v>327</v>
      </c>
      <c r="B206" s="1" t="s">
        <v>172</v>
      </c>
      <c r="C206" s="1" t="s">
        <v>199</v>
      </c>
      <c r="D206" s="1">
        <f>COUNTIF(Tabela1[Team],Tabela2[[#This Row],[Team]])</f>
        <v>0</v>
      </c>
      <c r="E206" s="1">
        <f>Tabela2[[#This Row],[Number Players]]-Tabela2[[#This Row],[Total Players]]</f>
        <v>0</v>
      </c>
      <c r="F206" s="1"/>
    </row>
    <row r="207" spans="1:6" x14ac:dyDescent="0.3">
      <c r="A207" s="1" t="s">
        <v>333</v>
      </c>
      <c r="B207" s="1" t="s">
        <v>155</v>
      </c>
      <c r="C207" s="1" t="s">
        <v>199</v>
      </c>
      <c r="D207" s="1">
        <f>COUNTIF(Tabela1[Team],Tabela2[[#This Row],[Team]])</f>
        <v>0</v>
      </c>
      <c r="E207" s="1">
        <f>Tabela2[[#This Row],[Number Players]]-Tabela2[[#This Row],[Total Players]]</f>
        <v>0</v>
      </c>
      <c r="F207" s="1"/>
    </row>
    <row r="208" spans="1:6" x14ac:dyDescent="0.3">
      <c r="A208" s="1" t="s">
        <v>330</v>
      </c>
      <c r="B208" s="1" t="s">
        <v>154</v>
      </c>
      <c r="C208" s="1" t="s">
        <v>199</v>
      </c>
      <c r="D208" s="1">
        <f>COUNTIF(Tabela1[Team],Tabela2[[#This Row],[Team]])</f>
        <v>0</v>
      </c>
      <c r="E208" s="1">
        <f>Tabela2[[#This Row],[Number Players]]-Tabela2[[#This Row],[Total Players]]</f>
        <v>0</v>
      </c>
      <c r="F208" s="1"/>
    </row>
    <row r="209" spans="1:6" x14ac:dyDescent="0.3">
      <c r="A209" s="1" t="s">
        <v>334</v>
      </c>
      <c r="B209" s="1" t="s">
        <v>149</v>
      </c>
      <c r="C209" s="1" t="s">
        <v>199</v>
      </c>
      <c r="D209" s="1">
        <f>COUNTIF(Tabela1[Team],Tabela2[[#This Row],[Team]])</f>
        <v>0</v>
      </c>
      <c r="E209" s="1">
        <f>Tabela2[[#This Row],[Number Players]]-Tabela2[[#This Row],[Total Players]]</f>
        <v>0</v>
      </c>
      <c r="F209" s="1"/>
    </row>
    <row r="210" spans="1:6" x14ac:dyDescent="0.3">
      <c r="A210" s="1" t="s">
        <v>335</v>
      </c>
      <c r="B210" s="1" t="s">
        <v>154</v>
      </c>
      <c r="C210" s="1" t="s">
        <v>199</v>
      </c>
      <c r="D210" s="1">
        <f>COUNTIF(Tabela1[Team],Tabela2[[#This Row],[Team]])</f>
        <v>0</v>
      </c>
      <c r="E210" s="1">
        <f>Tabela2[[#This Row],[Number Players]]-Tabela2[[#This Row],[Total Players]]</f>
        <v>0</v>
      </c>
      <c r="F210" s="1"/>
    </row>
    <row r="211" spans="1:6" x14ac:dyDescent="0.3">
      <c r="A211" s="1" t="s">
        <v>332</v>
      </c>
      <c r="B211" s="1" t="s">
        <v>155</v>
      </c>
      <c r="C211" s="1" t="s">
        <v>199</v>
      </c>
      <c r="D211" s="1">
        <f>COUNTIF(Tabela1[Team],Tabela2[[#This Row],[Team]])</f>
        <v>0</v>
      </c>
      <c r="E211" s="1">
        <f>Tabela2[[#This Row],[Number Players]]-Tabela2[[#This Row],[Total Players]]</f>
        <v>0</v>
      </c>
      <c r="F211" s="1"/>
    </row>
    <row r="212" spans="1:6" x14ac:dyDescent="0.3">
      <c r="A212" s="1" t="s">
        <v>326</v>
      </c>
      <c r="B212" s="1" t="s">
        <v>149</v>
      </c>
      <c r="C212" s="1" t="s">
        <v>199</v>
      </c>
      <c r="D212" s="1">
        <f>COUNTIF(Tabela1[Team],Tabela2[[#This Row],[Team]])</f>
        <v>0</v>
      </c>
      <c r="E212" s="1">
        <f>Tabela2[[#This Row],[Number Players]]-Tabela2[[#This Row],[Total Players]]</f>
        <v>0</v>
      </c>
      <c r="F212" s="1"/>
    </row>
    <row r="213" spans="1:6" x14ac:dyDescent="0.3">
      <c r="A213" s="1" t="s">
        <v>329</v>
      </c>
      <c r="B213" s="1" t="s">
        <v>171</v>
      </c>
      <c r="C213" s="1" t="s">
        <v>199</v>
      </c>
      <c r="D213" s="1">
        <f>COUNTIF(Tabela1[Team],Tabela2[[#This Row],[Team]])</f>
        <v>0</v>
      </c>
      <c r="E213" s="1">
        <f>Tabela2[[#This Row],[Number Players]]-Tabela2[[#This Row],[Total Players]]</f>
        <v>0</v>
      </c>
      <c r="F213" s="1"/>
    </row>
    <row r="214" spans="1:6" x14ac:dyDescent="0.3">
      <c r="A214" s="1" t="s">
        <v>328</v>
      </c>
      <c r="B214" s="1" t="s">
        <v>156</v>
      </c>
      <c r="C214" s="1" t="s">
        <v>199</v>
      </c>
      <c r="D214" s="1">
        <f>COUNTIF(Tabela1[Team],Tabela2[[#This Row],[Team]])</f>
        <v>0</v>
      </c>
      <c r="E214" s="1">
        <f>Tabela2[[#This Row],[Number Players]]-Tabela2[[#This Row],[Total Players]]</f>
        <v>0</v>
      </c>
      <c r="F214" s="1"/>
    </row>
    <row r="215" spans="1:6" x14ac:dyDescent="0.3">
      <c r="A215" s="1" t="s">
        <v>97</v>
      </c>
      <c r="B215" s="1" t="s">
        <v>145</v>
      </c>
      <c r="C215" s="1" t="s">
        <v>22</v>
      </c>
      <c r="D215" s="1">
        <f>COUNTIF(Tabela1[Team],Tabela2[[#This Row],[Team]])</f>
        <v>0</v>
      </c>
      <c r="E215" s="1">
        <f>Tabela2[[#This Row],[Number Players]]-Tabela2[[#This Row],[Total Players]]</f>
        <v>0</v>
      </c>
      <c r="F215" s="1"/>
    </row>
    <row r="216" spans="1:6" x14ac:dyDescent="0.3">
      <c r="A216" s="1" t="s">
        <v>95</v>
      </c>
      <c r="B216" s="1" t="s">
        <v>150</v>
      </c>
      <c r="C216" s="1" t="s">
        <v>22</v>
      </c>
      <c r="D216" s="1">
        <f>COUNTIF(Tabela1[Team],Tabela2[[#This Row],[Team]])</f>
        <v>0</v>
      </c>
      <c r="E216" s="1">
        <f>Tabela2[[#This Row],[Number Players]]-Tabela2[[#This Row],[Total Players]]</f>
        <v>0</v>
      </c>
      <c r="F216" s="1"/>
    </row>
    <row r="217" spans="1:6" x14ac:dyDescent="0.3">
      <c r="A217" s="1" t="s">
        <v>98</v>
      </c>
      <c r="B217" s="1" t="s">
        <v>145</v>
      </c>
      <c r="C217" s="1" t="s">
        <v>22</v>
      </c>
      <c r="D217" s="1">
        <f>COUNTIF(Tabela1[Team],Tabela2[[#This Row],[Team]])</f>
        <v>0</v>
      </c>
      <c r="E217" s="1">
        <f>Tabela2[[#This Row],[Number Players]]-Tabela2[[#This Row],[Total Players]]</f>
        <v>0</v>
      </c>
      <c r="F217" s="1"/>
    </row>
    <row r="218" spans="1:6" x14ac:dyDescent="0.3">
      <c r="A218" s="1" t="s">
        <v>94</v>
      </c>
      <c r="B218" s="1" t="s">
        <v>183</v>
      </c>
      <c r="C218" s="1" t="s">
        <v>22</v>
      </c>
      <c r="D218" s="1">
        <f>COUNTIF(Tabela1[Team],Tabela2[[#This Row],[Team]])</f>
        <v>0</v>
      </c>
      <c r="E218" s="1">
        <f>Tabela2[[#This Row],[Number Players]]-Tabela2[[#This Row],[Total Players]]</f>
        <v>0</v>
      </c>
      <c r="F218" s="1"/>
    </row>
    <row r="219" spans="1:6" x14ac:dyDescent="0.3">
      <c r="A219" s="1" t="s">
        <v>99</v>
      </c>
      <c r="B219" s="1" t="s">
        <v>144</v>
      </c>
      <c r="C219" s="1" t="s">
        <v>22</v>
      </c>
      <c r="D219" s="1">
        <f>COUNTIF(Tabela1[Team],Tabela2[[#This Row],[Team]])</f>
        <v>0</v>
      </c>
      <c r="E219" s="1">
        <f>Tabela2[[#This Row],[Number Players]]-Tabela2[[#This Row],[Total Players]]</f>
        <v>0</v>
      </c>
      <c r="F219" s="1"/>
    </row>
    <row r="220" spans="1:6" x14ac:dyDescent="0.3">
      <c r="A220" s="1" t="s">
        <v>73</v>
      </c>
      <c r="B220" s="1" t="s">
        <v>148</v>
      </c>
      <c r="C220" s="1" t="s">
        <v>22</v>
      </c>
      <c r="D220" s="1">
        <f>COUNTIF(Tabela1[Team],Tabela2[[#This Row],[Team]])</f>
        <v>0</v>
      </c>
      <c r="E220" s="1">
        <f>Tabela2[[#This Row],[Number Players]]-Tabela2[[#This Row],[Total Players]]</f>
        <v>0</v>
      </c>
      <c r="F220" s="1"/>
    </row>
    <row r="221" spans="1:6" x14ac:dyDescent="0.3">
      <c r="A221" s="1" t="s">
        <v>100</v>
      </c>
      <c r="B221" s="1" t="s">
        <v>173</v>
      </c>
      <c r="C221" s="1" t="s">
        <v>22</v>
      </c>
      <c r="D221" s="1">
        <f>COUNTIF(Tabela1[Team],Tabela2[[#This Row],[Team]])</f>
        <v>0</v>
      </c>
      <c r="E221" s="1">
        <f>Tabela2[[#This Row],[Number Players]]-Tabela2[[#This Row],[Total Players]]</f>
        <v>0</v>
      </c>
      <c r="F221" s="1"/>
    </row>
    <row r="222" spans="1:6" x14ac:dyDescent="0.3">
      <c r="A222" s="1" t="s">
        <v>93</v>
      </c>
      <c r="B222" s="1" t="s">
        <v>150</v>
      </c>
      <c r="C222" s="1" t="s">
        <v>22</v>
      </c>
      <c r="D222" s="1">
        <f>COUNTIF(Tabela1[Team],Tabela2[[#This Row],[Team]])</f>
        <v>0</v>
      </c>
      <c r="E222" s="1">
        <f>Tabela2[[#This Row],[Number Players]]-Tabela2[[#This Row],[Total Players]]</f>
        <v>0</v>
      </c>
      <c r="F222" s="1"/>
    </row>
    <row r="223" spans="1:6" x14ac:dyDescent="0.3">
      <c r="A223" s="1" t="s">
        <v>96</v>
      </c>
      <c r="B223" s="1" t="s">
        <v>179</v>
      </c>
      <c r="C223" s="1" t="s">
        <v>22</v>
      </c>
      <c r="D223" s="1">
        <f>COUNTIF(Tabela1[Team],Tabela2[[#This Row],[Team]])</f>
        <v>0</v>
      </c>
      <c r="E223" s="1">
        <f>Tabela2[[#This Row],[Number Players]]-Tabela2[[#This Row],[Total Players]]</f>
        <v>0</v>
      </c>
      <c r="F223" s="1"/>
    </row>
    <row r="224" spans="1:6" x14ac:dyDescent="0.3">
      <c r="A224" s="1" t="s">
        <v>338</v>
      </c>
      <c r="B224" s="1" t="s">
        <v>146</v>
      </c>
      <c r="C224" s="1" t="s">
        <v>200</v>
      </c>
      <c r="D224" s="1">
        <f>COUNTIF(Tabela1[Team],Tabela2[[#This Row],[Team]])</f>
        <v>0</v>
      </c>
      <c r="E224" s="1">
        <f>Tabela2[[#This Row],[Number Players]]-Tabela2[[#This Row],[Total Players]]</f>
        <v>0</v>
      </c>
      <c r="F224" s="1"/>
    </row>
    <row r="225" spans="1:6" x14ac:dyDescent="0.3">
      <c r="A225" s="1" t="s">
        <v>341</v>
      </c>
      <c r="B225" s="1" t="s">
        <v>184</v>
      </c>
      <c r="C225" s="1" t="s">
        <v>200</v>
      </c>
      <c r="D225" s="1">
        <f>COUNTIF(Tabela1[Team],Tabela2[[#This Row],[Team]])</f>
        <v>0</v>
      </c>
      <c r="E225" s="1">
        <f>Tabela2[[#This Row],[Number Players]]-Tabela2[[#This Row],[Total Players]]</f>
        <v>0</v>
      </c>
      <c r="F225" s="1"/>
    </row>
    <row r="226" spans="1:6" x14ac:dyDescent="0.3">
      <c r="A226" s="1" t="s">
        <v>417</v>
      </c>
      <c r="B226" s="1" t="s">
        <v>160</v>
      </c>
      <c r="C226" s="1" t="s">
        <v>200</v>
      </c>
      <c r="D226" s="1">
        <f>COUNTIF(Tabela1[Team],Tabela2[[#This Row],[Team]])</f>
        <v>0</v>
      </c>
      <c r="E226" s="1">
        <f>Tabela2[[#This Row],[Number Players]]-Tabela2[[#This Row],[Total Players]]</f>
        <v>0</v>
      </c>
      <c r="F226" s="1"/>
    </row>
    <row r="227" spans="1:6" x14ac:dyDescent="0.3">
      <c r="A227" s="1" t="s">
        <v>337</v>
      </c>
      <c r="B227" s="1" t="s">
        <v>184</v>
      </c>
      <c r="C227" s="1" t="s">
        <v>200</v>
      </c>
      <c r="D227" s="1">
        <f>COUNTIF(Tabela1[Team],Tabela2[[#This Row],[Team]])</f>
        <v>0</v>
      </c>
      <c r="E227" s="1">
        <f>Tabela2[[#This Row],[Number Players]]-Tabela2[[#This Row],[Total Players]]</f>
        <v>0</v>
      </c>
      <c r="F227" s="1"/>
    </row>
    <row r="228" spans="1:6" x14ac:dyDescent="0.3">
      <c r="A228" s="1" t="s">
        <v>343</v>
      </c>
      <c r="B228" s="1" t="s">
        <v>170</v>
      </c>
      <c r="C228" s="1" t="s">
        <v>200</v>
      </c>
      <c r="D228" s="1">
        <f>COUNTIF(Tabela1[Team],Tabela2[[#This Row],[Team]])</f>
        <v>0</v>
      </c>
      <c r="E228" s="1">
        <f>Tabela2[[#This Row],[Number Players]]-Tabela2[[#This Row],[Total Players]]</f>
        <v>0</v>
      </c>
      <c r="F228" s="1"/>
    </row>
    <row r="229" spans="1:6" x14ac:dyDescent="0.3">
      <c r="A229" s="1" t="s">
        <v>339</v>
      </c>
      <c r="B229" s="1" t="s">
        <v>146</v>
      </c>
      <c r="C229" s="1" t="s">
        <v>200</v>
      </c>
      <c r="D229" s="1">
        <f>COUNTIF(Tabela1[Team],Tabela2[[#This Row],[Team]])</f>
        <v>0</v>
      </c>
      <c r="E229" s="1">
        <f>Tabela2[[#This Row],[Number Players]]-Tabela2[[#This Row],[Total Players]]</f>
        <v>0</v>
      </c>
      <c r="F229" s="1"/>
    </row>
    <row r="230" spans="1:6" x14ac:dyDescent="0.3">
      <c r="A230" s="1" t="s">
        <v>342</v>
      </c>
      <c r="B230" s="1" t="s">
        <v>161</v>
      </c>
      <c r="C230" s="1" t="s">
        <v>200</v>
      </c>
      <c r="D230" s="1">
        <f>COUNTIF(Tabela1[Team],Tabela2[[#This Row],[Team]])</f>
        <v>0</v>
      </c>
      <c r="E230" s="1">
        <f>Tabela2[[#This Row],[Number Players]]-Tabela2[[#This Row],[Total Players]]</f>
        <v>0</v>
      </c>
      <c r="F230" s="1"/>
    </row>
    <row r="231" spans="1:6" x14ac:dyDescent="0.3">
      <c r="A231" s="1" t="s">
        <v>344</v>
      </c>
      <c r="B231" s="1" t="s">
        <v>146</v>
      </c>
      <c r="C231" s="1" t="s">
        <v>200</v>
      </c>
      <c r="D231" s="1">
        <f>COUNTIF(Tabela1[Team],Tabela2[[#This Row],[Team]])</f>
        <v>0</v>
      </c>
      <c r="E231" s="1">
        <f>Tabela2[[#This Row],[Number Players]]-Tabela2[[#This Row],[Total Players]]</f>
        <v>0</v>
      </c>
      <c r="F231" s="1"/>
    </row>
    <row r="232" spans="1:6" x14ac:dyDescent="0.3">
      <c r="A232" s="1" t="s">
        <v>340</v>
      </c>
      <c r="B232" s="1" t="s">
        <v>161</v>
      </c>
      <c r="C232" s="1" t="s">
        <v>200</v>
      </c>
      <c r="D232" s="1">
        <f>COUNTIF(Tabela1[Team],Tabela2[[#This Row],[Team]])</f>
        <v>0</v>
      </c>
      <c r="E232" s="1">
        <f>Tabela2[[#This Row],[Number Players]]-Tabela2[[#This Row],[Total Players]]</f>
        <v>0</v>
      </c>
      <c r="F232" s="1"/>
    </row>
    <row r="233" spans="1:6" x14ac:dyDescent="0.3">
      <c r="A233" s="1" t="s">
        <v>422</v>
      </c>
      <c r="B233" s="1" t="s">
        <v>160</v>
      </c>
      <c r="C233" s="1" t="s">
        <v>200</v>
      </c>
      <c r="D233" s="1">
        <f>COUNTIF(Tabela1[Team],Tabela2[[#This Row],[Team]])</f>
        <v>0</v>
      </c>
      <c r="E233" s="1">
        <f>Tabela2[[#This Row],[Number Players]]-Tabela2[[#This Row],[Total Players]]</f>
        <v>0</v>
      </c>
      <c r="F233" s="1"/>
    </row>
    <row r="234" spans="1:6" x14ac:dyDescent="0.3">
      <c r="A234" s="1" t="s">
        <v>336</v>
      </c>
      <c r="B234" s="1" t="s">
        <v>160</v>
      </c>
      <c r="C234" s="1" t="s">
        <v>200</v>
      </c>
      <c r="D234" s="1">
        <f>COUNTIF(Tabela1[Team],Tabela2[[#This Row],[Team]])</f>
        <v>0</v>
      </c>
      <c r="E234" s="1">
        <f>Tabela2[[#This Row],[Number Players]]-Tabela2[[#This Row],[Total Players]]</f>
        <v>0</v>
      </c>
      <c r="F234" s="1"/>
    </row>
    <row r="235" spans="1:6" x14ac:dyDescent="0.3">
      <c r="A235" s="1" t="s">
        <v>346</v>
      </c>
      <c r="B235" s="1" t="s">
        <v>159</v>
      </c>
      <c r="C235" s="1" t="s">
        <v>201</v>
      </c>
      <c r="D235" s="1">
        <f>COUNTIF(Tabela1[Team],Tabela2[[#This Row],[Team]])</f>
        <v>0</v>
      </c>
      <c r="E235" s="1">
        <f>Tabela2[[#This Row],[Number Players]]-Tabela2[[#This Row],[Total Players]]</f>
        <v>0</v>
      </c>
      <c r="F235" s="1"/>
    </row>
    <row r="236" spans="1:6" x14ac:dyDescent="0.3">
      <c r="A236" s="1" t="s">
        <v>350</v>
      </c>
      <c r="B236" s="1" t="s">
        <v>149</v>
      </c>
      <c r="C236" s="1" t="s">
        <v>201</v>
      </c>
      <c r="D236" s="1">
        <f>COUNTIF(Tabela1[Team],Tabela2[[#This Row],[Team]])</f>
        <v>0</v>
      </c>
      <c r="E236" s="1">
        <f>Tabela2[[#This Row],[Number Players]]-Tabela2[[#This Row],[Total Players]]</f>
        <v>0</v>
      </c>
      <c r="F236" s="1"/>
    </row>
    <row r="237" spans="1:6" x14ac:dyDescent="0.3">
      <c r="A237" s="1" t="s">
        <v>353</v>
      </c>
      <c r="B237" s="1" t="s">
        <v>157</v>
      </c>
      <c r="C237" s="1" t="s">
        <v>201</v>
      </c>
      <c r="D237" s="1">
        <f>COUNTIF(Tabela1[Team],Tabela2[[#This Row],[Team]])</f>
        <v>0</v>
      </c>
      <c r="E237" s="1">
        <f>Tabela2[[#This Row],[Number Players]]-Tabela2[[#This Row],[Total Players]]</f>
        <v>0</v>
      </c>
      <c r="F237" s="1"/>
    </row>
    <row r="238" spans="1:6" x14ac:dyDescent="0.3">
      <c r="A238" s="1" t="s">
        <v>228</v>
      </c>
      <c r="B238" s="1" t="s">
        <v>163</v>
      </c>
      <c r="C238" s="1" t="s">
        <v>201</v>
      </c>
      <c r="D238" s="1">
        <f>COUNTIF(Tabela1[Team],Tabela2[[#This Row],[Team]])</f>
        <v>0</v>
      </c>
      <c r="E238" s="1">
        <f>Tabela2[[#This Row],[Number Players]]-Tabela2[[#This Row],[Total Players]]</f>
        <v>0</v>
      </c>
      <c r="F238" s="1"/>
    </row>
    <row r="239" spans="1:6" x14ac:dyDescent="0.3">
      <c r="A239" s="1" t="s">
        <v>347</v>
      </c>
      <c r="B239" s="1" t="s">
        <v>157</v>
      </c>
      <c r="C239" s="1" t="s">
        <v>201</v>
      </c>
      <c r="D239" s="1">
        <f>COUNTIF(Tabela1[Team],Tabela2[[#This Row],[Team]])</f>
        <v>0</v>
      </c>
      <c r="E239" s="1">
        <f>Tabela2[[#This Row],[Number Players]]-Tabela2[[#This Row],[Total Players]]</f>
        <v>0</v>
      </c>
      <c r="F239" s="1"/>
    </row>
    <row r="240" spans="1:6" x14ac:dyDescent="0.3">
      <c r="A240" s="1" t="s">
        <v>349</v>
      </c>
      <c r="B240" s="1" t="s">
        <v>157</v>
      </c>
      <c r="C240" s="1" t="s">
        <v>201</v>
      </c>
      <c r="D240" s="1">
        <f>COUNTIF(Tabela1[Team],Tabela2[[#This Row],[Team]])</f>
        <v>0</v>
      </c>
      <c r="E240" s="1">
        <f>Tabela2[[#This Row],[Number Players]]-Tabela2[[#This Row],[Total Players]]</f>
        <v>0</v>
      </c>
      <c r="F240" s="1"/>
    </row>
    <row r="241" spans="1:6" x14ac:dyDescent="0.3">
      <c r="A241" s="1" t="s">
        <v>229</v>
      </c>
      <c r="B241" s="1" t="s">
        <v>163</v>
      </c>
      <c r="C241" s="1" t="s">
        <v>201</v>
      </c>
      <c r="D241" s="1">
        <f>COUNTIF(Tabela1[Team],Tabela2[[#This Row],[Team]])</f>
        <v>0</v>
      </c>
      <c r="E241" s="1">
        <f>Tabela2[[#This Row],[Number Players]]-Tabela2[[#This Row],[Total Players]]</f>
        <v>0</v>
      </c>
      <c r="F241" s="1"/>
    </row>
    <row r="242" spans="1:6" x14ac:dyDescent="0.3">
      <c r="A242" s="1" t="s">
        <v>352</v>
      </c>
      <c r="B242" s="1" t="s">
        <v>171</v>
      </c>
      <c r="C242" s="1" t="s">
        <v>201</v>
      </c>
      <c r="D242" s="1">
        <f>COUNTIF(Tabela1[Team],Tabela2[[#This Row],[Team]])</f>
        <v>0</v>
      </c>
      <c r="E242" s="1">
        <f>Tabela2[[#This Row],[Number Players]]-Tabela2[[#This Row],[Total Players]]</f>
        <v>0</v>
      </c>
      <c r="F242" s="1"/>
    </row>
    <row r="243" spans="1:6" x14ac:dyDescent="0.3">
      <c r="A243" s="1" t="s">
        <v>354</v>
      </c>
      <c r="B243" s="1" t="s">
        <v>159</v>
      </c>
      <c r="C243" s="1" t="s">
        <v>201</v>
      </c>
      <c r="D243" s="1">
        <f>COUNTIF(Tabela1[Team],Tabela2[[#This Row],[Team]])</f>
        <v>0</v>
      </c>
      <c r="E243" s="1">
        <f>Tabela2[[#This Row],[Number Players]]-Tabela2[[#This Row],[Total Players]]</f>
        <v>0</v>
      </c>
      <c r="F243" s="1"/>
    </row>
    <row r="244" spans="1:6" x14ac:dyDescent="0.3">
      <c r="A244" s="1" t="s">
        <v>348</v>
      </c>
      <c r="B244" s="1" t="s">
        <v>159</v>
      </c>
      <c r="C244" s="1" t="s">
        <v>201</v>
      </c>
      <c r="D244" s="1">
        <f>COUNTIF(Tabela1[Team],Tabela2[[#This Row],[Team]])</f>
        <v>0</v>
      </c>
      <c r="E244" s="1">
        <f>Tabela2[[#This Row],[Number Players]]-Tabela2[[#This Row],[Total Players]]</f>
        <v>0</v>
      </c>
      <c r="F244" s="1"/>
    </row>
    <row r="245" spans="1:6" x14ac:dyDescent="0.3">
      <c r="A245" s="1" t="s">
        <v>351</v>
      </c>
      <c r="B245" s="1" t="s">
        <v>159</v>
      </c>
      <c r="C245" s="1" t="s">
        <v>201</v>
      </c>
      <c r="D245" s="1">
        <f>COUNTIF(Tabela1[Team],Tabela2[[#This Row],[Team]])</f>
        <v>0</v>
      </c>
      <c r="E245" s="1">
        <f>Tabela2[[#This Row],[Number Players]]-Tabela2[[#This Row],[Total Players]]</f>
        <v>0</v>
      </c>
      <c r="F245" s="1"/>
    </row>
    <row r="246" spans="1:6" x14ac:dyDescent="0.3">
      <c r="A246" s="1" t="s">
        <v>103</v>
      </c>
      <c r="B246" s="1" t="s">
        <v>164</v>
      </c>
      <c r="C246" s="1" t="s">
        <v>23</v>
      </c>
      <c r="D246" s="1">
        <f>COUNTIF(Tabela1[Team],Tabela2[[#This Row],[Team]])</f>
        <v>0</v>
      </c>
      <c r="E246" s="1">
        <f>Tabela2[[#This Row],[Number Players]]-Tabela2[[#This Row],[Total Players]]</f>
        <v>0</v>
      </c>
      <c r="F246" s="1"/>
    </row>
    <row r="247" spans="1:6" x14ac:dyDescent="0.3">
      <c r="A247" s="1" t="s">
        <v>109</v>
      </c>
      <c r="B247" s="1" t="s">
        <v>164</v>
      </c>
      <c r="C247" s="1" t="s">
        <v>23</v>
      </c>
      <c r="D247" s="1">
        <f>COUNTIF(Tabela1[Team],Tabela2[[#This Row],[Team]])</f>
        <v>0</v>
      </c>
      <c r="E247" s="1">
        <f>Tabela2[[#This Row],[Number Players]]-Tabela2[[#This Row],[Total Players]]</f>
        <v>0</v>
      </c>
      <c r="F247" s="1"/>
    </row>
    <row r="248" spans="1:6" x14ac:dyDescent="0.3">
      <c r="A248" s="1" t="s">
        <v>102</v>
      </c>
      <c r="B248" s="1" t="s">
        <v>144</v>
      </c>
      <c r="C248" s="1" t="s">
        <v>23</v>
      </c>
      <c r="D248" s="1">
        <f>COUNTIF(Tabela1[Team],Tabela2[[#This Row],[Team]])</f>
        <v>0</v>
      </c>
      <c r="E248" s="1">
        <f>Tabela2[[#This Row],[Number Players]]-Tabela2[[#This Row],[Total Players]]</f>
        <v>0</v>
      </c>
      <c r="F248" s="1"/>
    </row>
    <row r="249" spans="1:6" x14ac:dyDescent="0.3">
      <c r="A249" s="1" t="s">
        <v>106</v>
      </c>
      <c r="B249" s="1" t="s">
        <v>175</v>
      </c>
      <c r="C249" s="1" t="s">
        <v>23</v>
      </c>
      <c r="D249" s="1">
        <f>COUNTIF(Tabela1[Team],Tabela2[[#This Row],[Team]])</f>
        <v>0</v>
      </c>
      <c r="E249" s="1">
        <f>Tabela2[[#This Row],[Number Players]]-Tabela2[[#This Row],[Total Players]]</f>
        <v>0</v>
      </c>
      <c r="F249" s="1"/>
    </row>
    <row r="250" spans="1:6" x14ac:dyDescent="0.3">
      <c r="A250" s="1" t="s">
        <v>104</v>
      </c>
      <c r="B250" s="1" t="s">
        <v>175</v>
      </c>
      <c r="C250" s="1" t="s">
        <v>23</v>
      </c>
      <c r="D250" s="1">
        <f>COUNTIF(Tabela1[Team],Tabela2[[#This Row],[Team]])</f>
        <v>0</v>
      </c>
      <c r="E250" s="1">
        <f>Tabela2[[#This Row],[Number Players]]-Tabela2[[#This Row],[Total Players]]</f>
        <v>0</v>
      </c>
      <c r="F250" s="1"/>
    </row>
    <row r="251" spans="1:6" x14ac:dyDescent="0.3">
      <c r="A251" s="1" t="s">
        <v>108</v>
      </c>
      <c r="B251" s="1" t="s">
        <v>144</v>
      </c>
      <c r="C251" s="1" t="s">
        <v>23</v>
      </c>
      <c r="D251" s="1">
        <f>COUNTIF(Tabela1[Team],Tabela2[[#This Row],[Team]])</f>
        <v>0</v>
      </c>
      <c r="E251" s="1">
        <f>Tabela2[[#This Row],[Number Players]]-Tabela2[[#This Row],[Total Players]]</f>
        <v>0</v>
      </c>
      <c r="F251" s="1"/>
    </row>
    <row r="252" spans="1:6" x14ac:dyDescent="0.3">
      <c r="A252" s="1" t="s">
        <v>105</v>
      </c>
      <c r="B252" s="1" t="s">
        <v>144</v>
      </c>
      <c r="C252" s="1" t="s">
        <v>23</v>
      </c>
      <c r="D252" s="1">
        <f>COUNTIF(Tabela1[Team],Tabela2[[#This Row],[Team]])</f>
        <v>0</v>
      </c>
      <c r="E252" s="1">
        <f>Tabela2[[#This Row],[Number Players]]-Tabela2[[#This Row],[Total Players]]</f>
        <v>0</v>
      </c>
      <c r="F252" s="1"/>
    </row>
    <row r="253" spans="1:6" x14ac:dyDescent="0.3">
      <c r="A253" s="1" t="s">
        <v>101</v>
      </c>
      <c r="B253" s="1" t="s">
        <v>144</v>
      </c>
      <c r="C253" s="1" t="s">
        <v>23</v>
      </c>
      <c r="D253" s="1">
        <f>COUNTIF(Tabela1[Team],Tabela2[[#This Row],[Team]])</f>
        <v>0</v>
      </c>
      <c r="E253" s="1">
        <f>Tabela2[[#This Row],[Number Players]]-Tabela2[[#This Row],[Total Players]]</f>
        <v>0</v>
      </c>
      <c r="F253" s="1"/>
    </row>
    <row r="254" spans="1:6" x14ac:dyDescent="0.3">
      <c r="A254" s="1" t="s">
        <v>110</v>
      </c>
      <c r="B254" s="1" t="s">
        <v>177</v>
      </c>
      <c r="C254" s="1" t="s">
        <v>23</v>
      </c>
      <c r="D254" s="1">
        <f>COUNTIF(Tabela1[Team],Tabela2[[#This Row],[Team]])</f>
        <v>0</v>
      </c>
      <c r="E254" s="1">
        <f>Tabela2[[#This Row],[Number Players]]-Tabela2[[#This Row],[Total Players]]</f>
        <v>0</v>
      </c>
      <c r="F254" s="1"/>
    </row>
    <row r="255" spans="1:6" x14ac:dyDescent="0.3">
      <c r="A255" s="1" t="s">
        <v>107</v>
      </c>
      <c r="B255" s="1" t="s">
        <v>177</v>
      </c>
      <c r="C255" s="1" t="s">
        <v>23</v>
      </c>
      <c r="D255" s="1">
        <f>COUNTIF(Tabela1[Team],Tabela2[[#This Row],[Team]])</f>
        <v>0</v>
      </c>
      <c r="E255" s="1">
        <f>Tabela2[[#This Row],[Number Players]]-Tabela2[[#This Row],[Total Players]]</f>
        <v>0</v>
      </c>
      <c r="F255" s="1"/>
    </row>
    <row r="256" spans="1:6" x14ac:dyDescent="0.3">
      <c r="A256" s="1" t="s">
        <v>356</v>
      </c>
      <c r="B256" s="1" t="s">
        <v>413</v>
      </c>
      <c r="C256" s="1" t="s">
        <v>202</v>
      </c>
      <c r="D256" s="1">
        <f>COUNTIF(Tabela1[Team],Tabela2[[#This Row],[Team]])</f>
        <v>0</v>
      </c>
      <c r="E256" s="1">
        <f>Tabela2[[#This Row],[Number Players]]-Tabela2[[#This Row],[Total Players]]</f>
        <v>0</v>
      </c>
      <c r="F256" s="1"/>
    </row>
    <row r="257" spans="1:6" x14ac:dyDescent="0.3">
      <c r="A257" s="1" t="s">
        <v>78</v>
      </c>
      <c r="B257" s="1" t="s">
        <v>160</v>
      </c>
      <c r="C257" s="1" t="s">
        <v>202</v>
      </c>
      <c r="D257" s="1">
        <f>COUNTIF(Tabela1[Team],Tabela2[[#This Row],[Team]])</f>
        <v>0</v>
      </c>
      <c r="E257" s="1">
        <f>Tabela2[[#This Row],[Number Players]]-Tabela2[[#This Row],[Total Players]]</f>
        <v>0</v>
      </c>
      <c r="F257" s="1"/>
    </row>
    <row r="258" spans="1:6" x14ac:dyDescent="0.3">
      <c r="A258" s="1" t="s">
        <v>359</v>
      </c>
      <c r="B258" s="1" t="s">
        <v>161</v>
      </c>
      <c r="C258" s="1" t="s">
        <v>202</v>
      </c>
      <c r="D258" s="1">
        <f>COUNTIF(Tabela1[Team],Tabela2[[#This Row],[Team]])</f>
        <v>0</v>
      </c>
      <c r="E258" s="1">
        <f>Tabela2[[#This Row],[Number Players]]-Tabela2[[#This Row],[Total Players]]</f>
        <v>0</v>
      </c>
      <c r="F258" s="1"/>
    </row>
    <row r="259" spans="1:6" x14ac:dyDescent="0.3">
      <c r="A259" s="1" t="s">
        <v>357</v>
      </c>
      <c r="B259" s="1" t="s">
        <v>160</v>
      </c>
      <c r="C259" s="1" t="s">
        <v>202</v>
      </c>
      <c r="D259" s="1">
        <f>COUNTIF(Tabela1[Team],Tabela2[[#This Row],[Team]])</f>
        <v>0</v>
      </c>
      <c r="E259" s="1">
        <f>Tabela2[[#This Row],[Number Players]]-Tabela2[[#This Row],[Total Players]]</f>
        <v>0</v>
      </c>
      <c r="F259" s="1"/>
    </row>
    <row r="260" spans="1:6" x14ac:dyDescent="0.3">
      <c r="A260" s="1" t="s">
        <v>355</v>
      </c>
      <c r="B260" s="1" t="s">
        <v>166</v>
      </c>
      <c r="C260" s="1" t="s">
        <v>202</v>
      </c>
      <c r="D260" s="1">
        <f>COUNTIF(Tabela1[Team],Tabela2[[#This Row],[Team]])</f>
        <v>0</v>
      </c>
      <c r="E260" s="1">
        <f>Tabela2[[#This Row],[Number Players]]-Tabela2[[#This Row],[Total Players]]</f>
        <v>0</v>
      </c>
      <c r="F260" s="1"/>
    </row>
    <row r="261" spans="1:6" x14ac:dyDescent="0.3">
      <c r="A261" s="1" t="s">
        <v>360</v>
      </c>
      <c r="B261" s="1" t="s">
        <v>161</v>
      </c>
      <c r="C261" s="1" t="s">
        <v>202</v>
      </c>
      <c r="D261" s="1">
        <f>COUNTIF(Tabela1[Team],Tabela2[[#This Row],[Team]])</f>
        <v>0</v>
      </c>
      <c r="E261" s="1">
        <f>Tabela2[[#This Row],[Number Players]]-Tabela2[[#This Row],[Total Players]]</f>
        <v>0</v>
      </c>
      <c r="F261" s="1"/>
    </row>
    <row r="262" spans="1:6" x14ac:dyDescent="0.3">
      <c r="A262" s="1" t="s">
        <v>358</v>
      </c>
      <c r="B262" s="1" t="s">
        <v>161</v>
      </c>
      <c r="C262" s="1" t="s">
        <v>202</v>
      </c>
      <c r="D262" s="1">
        <f>COUNTIF(Tabela1[Team],Tabela2[[#This Row],[Team]])</f>
        <v>0</v>
      </c>
      <c r="E262" s="1">
        <f>Tabela2[[#This Row],[Number Players]]-Tabela2[[#This Row],[Total Players]]</f>
        <v>0</v>
      </c>
      <c r="F262" s="1"/>
    </row>
    <row r="263" spans="1:6" x14ac:dyDescent="0.3">
      <c r="A263" s="1" t="s">
        <v>143</v>
      </c>
      <c r="B263" s="1" t="s">
        <v>170</v>
      </c>
      <c r="C263" s="1" t="s">
        <v>202</v>
      </c>
      <c r="D263" s="1">
        <f>COUNTIF(Tabela1[Team],Tabela2[[#This Row],[Team]])</f>
        <v>0</v>
      </c>
      <c r="E263" s="1">
        <f>Tabela2[[#This Row],[Number Players]]-Tabela2[[#This Row],[Total Players]]</f>
        <v>0</v>
      </c>
      <c r="F263" s="1"/>
    </row>
    <row r="264" spans="1:6" x14ac:dyDescent="0.3">
      <c r="A264" s="1" t="s">
        <v>119</v>
      </c>
      <c r="B264" s="1" t="s">
        <v>163</v>
      </c>
      <c r="C264" s="1" t="s">
        <v>24</v>
      </c>
      <c r="D264" s="1">
        <f>COUNTIF(Tabela1[Team],Tabela2[[#This Row],[Team]])</f>
        <v>0</v>
      </c>
      <c r="E264" s="1">
        <f>Tabela2[[#This Row],[Number Players]]-Tabela2[[#This Row],[Total Players]]</f>
        <v>0</v>
      </c>
      <c r="F264" s="1"/>
    </row>
    <row r="265" spans="1:6" x14ac:dyDescent="0.3">
      <c r="A265" s="1" t="s">
        <v>120</v>
      </c>
      <c r="B265" s="1" t="s">
        <v>165</v>
      </c>
      <c r="C265" s="1" t="s">
        <v>24</v>
      </c>
      <c r="D265" s="1">
        <f>COUNTIF(Tabela1[Team],Tabela2[[#This Row],[Team]])</f>
        <v>0</v>
      </c>
      <c r="E265" s="1">
        <f>Tabela2[[#This Row],[Number Players]]-Tabela2[[#This Row],[Total Players]]</f>
        <v>0</v>
      </c>
      <c r="F265" s="1"/>
    </row>
    <row r="266" spans="1:6" x14ac:dyDescent="0.3">
      <c r="A266" s="1" t="s">
        <v>117</v>
      </c>
      <c r="B266" s="1" t="s">
        <v>163</v>
      </c>
      <c r="C266" s="1" t="s">
        <v>24</v>
      </c>
      <c r="D266" s="1">
        <f>COUNTIF(Tabela1[Team],Tabela2[[#This Row],[Team]])</f>
        <v>0</v>
      </c>
      <c r="E266" s="1">
        <f>Tabela2[[#This Row],[Number Players]]-Tabela2[[#This Row],[Total Players]]</f>
        <v>0</v>
      </c>
      <c r="F266" s="1"/>
    </row>
    <row r="267" spans="1:6" x14ac:dyDescent="0.3">
      <c r="A267" s="1" t="s">
        <v>113</v>
      </c>
      <c r="B267" s="1" t="s">
        <v>147</v>
      </c>
      <c r="C267" s="1" t="s">
        <v>24</v>
      </c>
      <c r="D267" s="1">
        <f>COUNTIF(Tabela1[Team],Tabela2[[#This Row],[Team]])</f>
        <v>0</v>
      </c>
      <c r="E267" s="1">
        <f>Tabela2[[#This Row],[Number Players]]-Tabela2[[#This Row],[Total Players]]</f>
        <v>0</v>
      </c>
      <c r="F267" s="1"/>
    </row>
    <row r="268" spans="1:6" x14ac:dyDescent="0.3">
      <c r="A268" s="1" t="s">
        <v>112</v>
      </c>
      <c r="B268" s="1" t="s">
        <v>151</v>
      </c>
      <c r="C268" s="1" t="s">
        <v>24</v>
      </c>
      <c r="D268" s="1">
        <f>COUNTIF(Tabela1[Team],Tabela2[[#This Row],[Team]])</f>
        <v>0</v>
      </c>
      <c r="E268" s="1">
        <f>Tabela2[[#This Row],[Number Players]]-Tabela2[[#This Row],[Total Players]]</f>
        <v>0</v>
      </c>
      <c r="F268" s="1"/>
    </row>
    <row r="269" spans="1:6" x14ac:dyDescent="0.3">
      <c r="A269" s="1" t="s">
        <v>115</v>
      </c>
      <c r="B269" s="1" t="s">
        <v>157</v>
      </c>
      <c r="C269" s="1" t="s">
        <v>24</v>
      </c>
      <c r="D269" s="1">
        <f>COUNTIF(Tabela1[Team],Tabela2[[#This Row],[Team]])</f>
        <v>0</v>
      </c>
      <c r="E269" s="1">
        <f>Tabela2[[#This Row],[Number Players]]-Tabela2[[#This Row],[Total Players]]</f>
        <v>0</v>
      </c>
      <c r="F269" s="1"/>
    </row>
    <row r="270" spans="1:6" x14ac:dyDescent="0.3">
      <c r="A270" s="1" t="s">
        <v>118</v>
      </c>
      <c r="B270" s="1" t="s">
        <v>158</v>
      </c>
      <c r="C270" s="1" t="s">
        <v>24</v>
      </c>
      <c r="D270" s="1">
        <f>COUNTIF(Tabela1[Team],Tabela2[[#This Row],[Team]])</f>
        <v>0</v>
      </c>
      <c r="E270" s="1">
        <f>Tabela2[[#This Row],[Number Players]]-Tabela2[[#This Row],[Total Players]]</f>
        <v>0</v>
      </c>
      <c r="F270" s="1"/>
    </row>
    <row r="271" spans="1:6" x14ac:dyDescent="0.3">
      <c r="A271" s="1" t="s">
        <v>122</v>
      </c>
      <c r="B271" s="1" t="s">
        <v>182</v>
      </c>
      <c r="C271" s="1" t="s">
        <v>24</v>
      </c>
      <c r="D271" s="1">
        <f>COUNTIF(Tabela1[Team],Tabela2[[#This Row],[Team]])</f>
        <v>0</v>
      </c>
      <c r="E271" s="1">
        <f>Tabela2[[#This Row],[Number Players]]-Tabela2[[#This Row],[Total Players]]</f>
        <v>0</v>
      </c>
      <c r="F271" s="1"/>
    </row>
    <row r="272" spans="1:6" x14ac:dyDescent="0.3">
      <c r="A272" s="1" t="s">
        <v>121</v>
      </c>
      <c r="B272" s="1" t="s">
        <v>182</v>
      </c>
      <c r="C272" s="1" t="s">
        <v>24</v>
      </c>
      <c r="D272" s="1">
        <f>COUNTIF(Tabela1[Team],Tabela2[[#This Row],[Team]])</f>
        <v>0</v>
      </c>
      <c r="E272" s="1">
        <f>Tabela2[[#This Row],[Number Players]]-Tabela2[[#This Row],[Total Players]]</f>
        <v>0</v>
      </c>
      <c r="F272" s="1"/>
    </row>
    <row r="273" spans="1:6" x14ac:dyDescent="0.3">
      <c r="A273" s="1" t="s">
        <v>114</v>
      </c>
      <c r="B273" s="1" t="s">
        <v>168</v>
      </c>
      <c r="C273" s="1" t="s">
        <v>24</v>
      </c>
      <c r="D273" s="1">
        <f>COUNTIF(Tabela1[Team],Tabela2[[#This Row],[Team]])</f>
        <v>0</v>
      </c>
      <c r="E273" s="1">
        <f>Tabela2[[#This Row],[Number Players]]-Tabela2[[#This Row],[Total Players]]</f>
        <v>0</v>
      </c>
      <c r="F273" s="1"/>
    </row>
    <row r="274" spans="1:6" x14ac:dyDescent="0.3">
      <c r="A274" s="1" t="s">
        <v>111</v>
      </c>
      <c r="B274" s="1" t="s">
        <v>159</v>
      </c>
      <c r="C274" s="1" t="s">
        <v>24</v>
      </c>
      <c r="D274" s="1">
        <f>COUNTIF(Tabela1[Team],Tabela2[[#This Row],[Team]])</f>
        <v>0</v>
      </c>
      <c r="E274" s="1">
        <f>Tabela2[[#This Row],[Number Players]]-Tabela2[[#This Row],[Total Players]]</f>
        <v>0</v>
      </c>
      <c r="F274" s="1"/>
    </row>
    <row r="275" spans="1:6" x14ac:dyDescent="0.3">
      <c r="A275" s="1" t="s">
        <v>116</v>
      </c>
      <c r="B275" s="1" t="s">
        <v>159</v>
      </c>
      <c r="C275" s="1" t="s">
        <v>24</v>
      </c>
      <c r="D275" s="1">
        <f>COUNTIF(Tabela1[Team],Tabela2[[#This Row],[Team]])</f>
        <v>0</v>
      </c>
      <c r="E275" s="1">
        <f>Tabela2[[#This Row],[Number Players]]-Tabela2[[#This Row],[Total Players]]</f>
        <v>0</v>
      </c>
      <c r="F275" s="1"/>
    </row>
    <row r="276" spans="1:6" x14ac:dyDescent="0.3">
      <c r="A276" s="1" t="s">
        <v>363</v>
      </c>
      <c r="B276" s="1" t="s">
        <v>169</v>
      </c>
      <c r="C276" s="1" t="s">
        <v>203</v>
      </c>
      <c r="D276" s="1">
        <f>COUNTIF(Tabela1[Team],Tabela2[[#This Row],[Team]])</f>
        <v>0</v>
      </c>
      <c r="E276" s="1">
        <f>Tabela2[[#This Row],[Number Players]]-Tabela2[[#This Row],[Total Players]]</f>
        <v>0</v>
      </c>
      <c r="F276" s="1"/>
    </row>
    <row r="277" spans="1:6" x14ac:dyDescent="0.3">
      <c r="A277" s="1" t="s">
        <v>367</v>
      </c>
      <c r="B277" s="1" t="s">
        <v>168</v>
      </c>
      <c r="C277" s="1" t="s">
        <v>203</v>
      </c>
      <c r="D277" s="1">
        <f>COUNTIF(Tabela1[Team],Tabela2[[#This Row],[Team]])</f>
        <v>0</v>
      </c>
      <c r="E277" s="1">
        <f>Tabela2[[#This Row],[Number Players]]-Tabela2[[#This Row],[Total Players]]</f>
        <v>0</v>
      </c>
      <c r="F277" s="1"/>
    </row>
    <row r="278" spans="1:6" x14ac:dyDescent="0.3">
      <c r="A278" s="1" t="s">
        <v>368</v>
      </c>
      <c r="B278" s="1" t="s">
        <v>159</v>
      </c>
      <c r="C278" s="1" t="s">
        <v>203</v>
      </c>
      <c r="D278" s="1">
        <f>COUNTIF(Tabela1[Team],Tabela2[[#This Row],[Team]])</f>
        <v>0</v>
      </c>
      <c r="E278" s="1">
        <f>Tabela2[[#This Row],[Number Players]]-Tabela2[[#This Row],[Total Players]]</f>
        <v>0</v>
      </c>
      <c r="F278" s="1"/>
    </row>
    <row r="279" spans="1:6" x14ac:dyDescent="0.3">
      <c r="A279" s="1" t="s">
        <v>361</v>
      </c>
      <c r="B279" s="1" t="s">
        <v>169</v>
      </c>
      <c r="C279" s="1" t="s">
        <v>203</v>
      </c>
      <c r="D279" s="1">
        <f>COUNTIF(Tabela1[Team],Tabela2[[#This Row],[Team]])</f>
        <v>0</v>
      </c>
      <c r="E279" s="1">
        <f>Tabela2[[#This Row],[Number Players]]-Tabela2[[#This Row],[Total Players]]</f>
        <v>0</v>
      </c>
      <c r="F279" s="1"/>
    </row>
    <row r="280" spans="1:6" x14ac:dyDescent="0.3">
      <c r="A280" s="1" t="s">
        <v>253</v>
      </c>
      <c r="B280" s="1" t="s">
        <v>169</v>
      </c>
      <c r="C280" s="1" t="s">
        <v>203</v>
      </c>
      <c r="D280" s="1">
        <f>COUNTIF(Tabela1[Team],Tabela2[[#This Row],[Team]])</f>
        <v>0</v>
      </c>
      <c r="E280" s="1">
        <f>Tabela2[[#This Row],[Number Players]]-Tabela2[[#This Row],[Total Players]]</f>
        <v>0</v>
      </c>
      <c r="F280" s="1"/>
    </row>
    <row r="281" spans="1:6" x14ac:dyDescent="0.3">
      <c r="A281" s="1" t="s">
        <v>371</v>
      </c>
      <c r="B281" s="1" t="s">
        <v>168</v>
      </c>
      <c r="C281" s="1" t="s">
        <v>203</v>
      </c>
      <c r="D281" s="1">
        <f>COUNTIF(Tabela1[Team],Tabela2[[#This Row],[Team]])</f>
        <v>0</v>
      </c>
      <c r="E281" s="1">
        <f>Tabela2[[#This Row],[Number Players]]-Tabela2[[#This Row],[Total Players]]</f>
        <v>0</v>
      </c>
      <c r="F281" s="1"/>
    </row>
    <row r="282" spans="1:6" x14ac:dyDescent="0.3">
      <c r="A282" s="1" t="s">
        <v>369</v>
      </c>
      <c r="B282" s="1" t="s">
        <v>151</v>
      </c>
      <c r="C282" s="1" t="s">
        <v>203</v>
      </c>
      <c r="D282" s="1">
        <f>COUNTIF(Tabela1[Team],Tabela2[[#This Row],[Team]])</f>
        <v>0</v>
      </c>
      <c r="E282" s="1">
        <f>Tabela2[[#This Row],[Number Players]]-Tabela2[[#This Row],[Total Players]]</f>
        <v>0</v>
      </c>
      <c r="F282" s="1"/>
    </row>
    <row r="283" spans="1:6" x14ac:dyDescent="0.3">
      <c r="A283" s="1" t="s">
        <v>372</v>
      </c>
      <c r="B283" s="1" t="s">
        <v>168</v>
      </c>
      <c r="C283" s="1" t="s">
        <v>203</v>
      </c>
      <c r="D283" s="1">
        <f>COUNTIF(Tabela1[Team],Tabela2[[#This Row],[Team]])</f>
        <v>0</v>
      </c>
      <c r="E283" s="1">
        <f>Tabela2[[#This Row],[Number Players]]-Tabela2[[#This Row],[Total Players]]</f>
        <v>0</v>
      </c>
      <c r="F283" s="1"/>
    </row>
    <row r="284" spans="1:6" x14ac:dyDescent="0.3">
      <c r="A284" s="1" t="s">
        <v>366</v>
      </c>
      <c r="B284" s="1" t="s">
        <v>169</v>
      </c>
      <c r="C284" s="1" t="s">
        <v>203</v>
      </c>
      <c r="D284" s="1">
        <f>COUNTIF(Tabela1[Team],Tabela2[[#This Row],[Team]])</f>
        <v>0</v>
      </c>
      <c r="E284" s="1">
        <f>Tabela2[[#This Row],[Number Players]]-Tabela2[[#This Row],[Total Players]]</f>
        <v>0</v>
      </c>
      <c r="F284" s="1"/>
    </row>
    <row r="285" spans="1:6" x14ac:dyDescent="0.3">
      <c r="A285" s="1" t="s">
        <v>364</v>
      </c>
      <c r="B285" s="1" t="s">
        <v>169</v>
      </c>
      <c r="C285" s="1" t="s">
        <v>203</v>
      </c>
      <c r="D285" s="1">
        <f>COUNTIF(Tabela1[Team],Tabela2[[#This Row],[Team]])</f>
        <v>0</v>
      </c>
      <c r="E285" s="1">
        <f>Tabela2[[#This Row],[Number Players]]-Tabela2[[#This Row],[Total Players]]</f>
        <v>0</v>
      </c>
      <c r="F285" s="1"/>
    </row>
    <row r="286" spans="1:6" x14ac:dyDescent="0.3">
      <c r="A286" s="1" t="s">
        <v>370</v>
      </c>
      <c r="B286" s="1" t="s">
        <v>168</v>
      </c>
      <c r="C286" s="1" t="s">
        <v>203</v>
      </c>
      <c r="D286" s="1">
        <f>COUNTIF(Tabela1[Team],Tabela2[[#This Row],[Team]])</f>
        <v>0</v>
      </c>
      <c r="E286" s="1">
        <f>Tabela2[[#This Row],[Number Players]]-Tabela2[[#This Row],[Total Players]]</f>
        <v>0</v>
      </c>
      <c r="F286" s="1"/>
    </row>
    <row r="287" spans="1:6" x14ac:dyDescent="0.3">
      <c r="A287" s="1" t="s">
        <v>377</v>
      </c>
      <c r="B287" s="1" t="s">
        <v>148</v>
      </c>
      <c r="C287" s="1" t="s">
        <v>204</v>
      </c>
      <c r="D287" s="1">
        <f>COUNTIF(Tabela1[Team],Tabela2[[#This Row],[Team]])</f>
        <v>0</v>
      </c>
      <c r="E287" s="1">
        <f>Tabela2[[#This Row],[Number Players]]-Tabela2[[#This Row],[Total Players]]</f>
        <v>0</v>
      </c>
      <c r="F287" s="1"/>
    </row>
    <row r="288" spans="1:6" x14ac:dyDescent="0.3">
      <c r="A288" s="1" t="s">
        <v>127</v>
      </c>
      <c r="B288" s="1" t="s">
        <v>158</v>
      </c>
      <c r="C288" s="1" t="s">
        <v>204</v>
      </c>
      <c r="D288" s="1">
        <f>COUNTIF(Tabela1[Team],Tabela2[[#This Row],[Team]])</f>
        <v>0</v>
      </c>
      <c r="E288" s="1">
        <f>Tabela2[[#This Row],[Number Players]]-Tabela2[[#This Row],[Total Players]]</f>
        <v>0</v>
      </c>
      <c r="F288" s="1"/>
    </row>
    <row r="289" spans="1:6" x14ac:dyDescent="0.3">
      <c r="A289" s="1" t="s">
        <v>376</v>
      </c>
      <c r="B289" s="1" t="s">
        <v>158</v>
      </c>
      <c r="C289" s="1" t="s">
        <v>204</v>
      </c>
      <c r="D289" s="1">
        <f>COUNTIF(Tabela1[Team],Tabela2[[#This Row],[Team]])</f>
        <v>0</v>
      </c>
      <c r="E289" s="1">
        <f>Tabela2[[#This Row],[Number Players]]-Tabela2[[#This Row],[Total Players]]</f>
        <v>0</v>
      </c>
      <c r="F289" s="1"/>
    </row>
    <row r="290" spans="1:6" x14ac:dyDescent="0.3">
      <c r="A290" s="1" t="s">
        <v>381</v>
      </c>
      <c r="B290" s="1" t="s">
        <v>158</v>
      </c>
      <c r="C290" s="1" t="s">
        <v>204</v>
      </c>
      <c r="D290" s="1">
        <f>COUNTIF(Tabela1[Team],Tabela2[[#This Row],[Team]])</f>
        <v>0</v>
      </c>
      <c r="E290" s="1">
        <f>Tabela2[[#This Row],[Number Players]]-Tabela2[[#This Row],[Total Players]]</f>
        <v>0</v>
      </c>
      <c r="F290" s="1"/>
    </row>
    <row r="291" spans="1:6" x14ac:dyDescent="0.3">
      <c r="A291" s="1" t="s">
        <v>380</v>
      </c>
      <c r="B291" s="1" t="s">
        <v>158</v>
      </c>
      <c r="C291" s="1" t="s">
        <v>204</v>
      </c>
      <c r="D291" s="1">
        <f>COUNTIF(Tabela1[Team],Tabela2[[#This Row],[Team]])</f>
        <v>0</v>
      </c>
      <c r="E291" s="1">
        <f>Tabela2[[#This Row],[Number Players]]-Tabela2[[#This Row],[Total Players]]</f>
        <v>0</v>
      </c>
      <c r="F291" s="1"/>
    </row>
    <row r="292" spans="1:6" x14ac:dyDescent="0.3">
      <c r="A292" s="1" t="s">
        <v>373</v>
      </c>
      <c r="B292" s="1" t="s">
        <v>148</v>
      </c>
      <c r="C292" s="1" t="s">
        <v>204</v>
      </c>
      <c r="D292" s="1">
        <f>COUNTIF(Tabela1[Team],Tabela2[[#This Row],[Team]])</f>
        <v>0</v>
      </c>
      <c r="E292" s="1">
        <f>Tabela2[[#This Row],[Number Players]]-Tabela2[[#This Row],[Total Players]]</f>
        <v>0</v>
      </c>
      <c r="F292" s="1"/>
    </row>
    <row r="293" spans="1:6" x14ac:dyDescent="0.3">
      <c r="A293" s="1" t="s">
        <v>378</v>
      </c>
      <c r="B293" s="1" t="s">
        <v>158</v>
      </c>
      <c r="C293" s="1" t="s">
        <v>204</v>
      </c>
      <c r="D293" s="1">
        <f>COUNTIF(Tabela1[Team],Tabela2[[#This Row],[Team]])</f>
        <v>0</v>
      </c>
      <c r="E293" s="1">
        <f>Tabela2[[#This Row],[Number Players]]-Tabela2[[#This Row],[Total Players]]</f>
        <v>0</v>
      </c>
      <c r="F293" s="1"/>
    </row>
    <row r="294" spans="1:6" x14ac:dyDescent="0.3">
      <c r="A294" s="1" t="s">
        <v>375</v>
      </c>
      <c r="B294" s="1" t="s">
        <v>148</v>
      </c>
      <c r="C294" s="1" t="s">
        <v>204</v>
      </c>
      <c r="D294" s="1">
        <f>COUNTIF(Tabela1[Team],Tabela2[[#This Row],[Team]])</f>
        <v>0</v>
      </c>
      <c r="E294" s="1">
        <f>Tabela2[[#This Row],[Number Players]]-Tabela2[[#This Row],[Total Players]]</f>
        <v>0</v>
      </c>
      <c r="F294" s="1"/>
    </row>
    <row r="295" spans="1:6" x14ac:dyDescent="0.3">
      <c r="A295" s="1" t="s">
        <v>374</v>
      </c>
      <c r="B295" s="1" t="s">
        <v>148</v>
      </c>
      <c r="C295" s="1" t="s">
        <v>204</v>
      </c>
      <c r="D295" s="1">
        <f>COUNTIF(Tabela1[Team],Tabela2[[#This Row],[Team]])</f>
        <v>0</v>
      </c>
      <c r="E295" s="1">
        <f>Tabela2[[#This Row],[Number Players]]-Tabela2[[#This Row],[Total Players]]</f>
        <v>0</v>
      </c>
      <c r="F295" s="1"/>
    </row>
    <row r="296" spans="1:6" x14ac:dyDescent="0.3">
      <c r="A296" s="1" t="s">
        <v>420</v>
      </c>
      <c r="B296" s="1" t="s">
        <v>148</v>
      </c>
      <c r="C296" s="1" t="s">
        <v>204</v>
      </c>
      <c r="D296" s="1">
        <f>COUNTIF(Tabela1[Team],Tabela2[[#This Row],[Team]])</f>
        <v>0</v>
      </c>
      <c r="E296" s="1">
        <f>Tabela2[[#This Row],[Number Players]]-Tabela2[[#This Row],[Total Players]]</f>
        <v>0</v>
      </c>
      <c r="F296" s="1"/>
    </row>
    <row r="297" spans="1:6" x14ac:dyDescent="0.3">
      <c r="A297" s="1" t="s">
        <v>379</v>
      </c>
      <c r="B297" s="1" t="s">
        <v>148</v>
      </c>
      <c r="C297" s="1" t="s">
        <v>204</v>
      </c>
      <c r="D297" s="1">
        <f>COUNTIF(Tabela1[Team],Tabela2[[#This Row],[Team]])</f>
        <v>0</v>
      </c>
      <c r="E297" s="1">
        <f>Tabela2[[#This Row],[Number Players]]-Tabela2[[#This Row],[Total Players]]</f>
        <v>0</v>
      </c>
      <c r="F297" s="1"/>
    </row>
    <row r="298" spans="1:6" x14ac:dyDescent="0.3">
      <c r="A298" s="1" t="s">
        <v>390</v>
      </c>
      <c r="B298" s="1" t="s">
        <v>163</v>
      </c>
      <c r="C298" s="1" t="s">
        <v>205</v>
      </c>
      <c r="D298" s="1">
        <f>COUNTIF(Tabela1[Team],Tabela2[[#This Row],[Team]])</f>
        <v>0</v>
      </c>
      <c r="E298" s="1">
        <f>Tabela2[[#This Row],[Number Players]]-Tabela2[[#This Row],[Total Players]]</f>
        <v>0</v>
      </c>
      <c r="F298" s="1"/>
    </row>
    <row r="299" spans="1:6" x14ac:dyDescent="0.3">
      <c r="A299" s="1" t="s">
        <v>385</v>
      </c>
      <c r="B299" s="1" t="s">
        <v>163</v>
      </c>
      <c r="C299" s="1" t="s">
        <v>205</v>
      </c>
      <c r="D299" s="1">
        <f>COUNTIF(Tabela1[Team],Tabela2[[#This Row],[Team]])</f>
        <v>0</v>
      </c>
      <c r="E299" s="1">
        <f>Tabela2[[#This Row],[Number Players]]-Tabela2[[#This Row],[Total Players]]</f>
        <v>0</v>
      </c>
      <c r="F299" s="1"/>
    </row>
    <row r="300" spans="1:6" x14ac:dyDescent="0.3">
      <c r="A300" s="1" t="s">
        <v>386</v>
      </c>
      <c r="B300" s="1" t="s">
        <v>182</v>
      </c>
      <c r="C300" s="1" t="s">
        <v>205</v>
      </c>
      <c r="D300" s="1">
        <f>COUNTIF(Tabela1[Team],Tabela2[[#This Row],[Team]])</f>
        <v>0</v>
      </c>
      <c r="E300" s="1">
        <f>Tabela2[[#This Row],[Number Players]]-Tabela2[[#This Row],[Total Players]]</f>
        <v>0</v>
      </c>
      <c r="F300" s="1"/>
    </row>
    <row r="301" spans="1:6" x14ac:dyDescent="0.3">
      <c r="A301" s="1" t="s">
        <v>391</v>
      </c>
      <c r="B301" s="1" t="s">
        <v>165</v>
      </c>
      <c r="C301" s="1" t="s">
        <v>205</v>
      </c>
      <c r="D301" s="1">
        <f>COUNTIF(Tabela1[Team],Tabela2[[#This Row],[Team]])</f>
        <v>0</v>
      </c>
      <c r="E301" s="1">
        <f>Tabela2[[#This Row],[Number Players]]-Tabela2[[#This Row],[Total Players]]</f>
        <v>0</v>
      </c>
      <c r="F301" s="1"/>
    </row>
    <row r="302" spans="1:6" x14ac:dyDescent="0.3">
      <c r="A302" s="1" t="s">
        <v>387</v>
      </c>
      <c r="B302" s="1" t="s">
        <v>158</v>
      </c>
      <c r="C302" s="1" t="s">
        <v>205</v>
      </c>
      <c r="D302" s="1">
        <f>COUNTIF(Tabela1[Team],Tabela2[[#This Row],[Team]])</f>
        <v>0</v>
      </c>
      <c r="E302" s="1">
        <f>Tabela2[[#This Row],[Number Players]]-Tabela2[[#This Row],[Total Players]]</f>
        <v>0</v>
      </c>
      <c r="F302" s="1"/>
    </row>
    <row r="303" spans="1:6" x14ac:dyDescent="0.3">
      <c r="A303" s="1" t="s">
        <v>388</v>
      </c>
      <c r="B303" s="1" t="s">
        <v>182</v>
      </c>
      <c r="C303" s="1" t="s">
        <v>205</v>
      </c>
      <c r="D303" s="1">
        <f>COUNTIF(Tabela1[Team],Tabela2[[#This Row],[Team]])</f>
        <v>0</v>
      </c>
      <c r="E303" s="1">
        <f>Tabela2[[#This Row],[Number Players]]-Tabela2[[#This Row],[Total Players]]</f>
        <v>0</v>
      </c>
      <c r="F303" s="1"/>
    </row>
    <row r="304" spans="1:6" x14ac:dyDescent="0.3">
      <c r="A304" s="1" t="s">
        <v>383</v>
      </c>
      <c r="B304" s="1" t="s">
        <v>182</v>
      </c>
      <c r="C304" s="1" t="s">
        <v>205</v>
      </c>
      <c r="D304" s="1">
        <f>COUNTIF(Tabela1[Team],Tabela2[[#This Row],[Team]])</f>
        <v>0</v>
      </c>
      <c r="E304" s="1">
        <f>Tabela2[[#This Row],[Number Players]]-Tabela2[[#This Row],[Total Players]]</f>
        <v>0</v>
      </c>
      <c r="F304" s="1"/>
    </row>
    <row r="305" spans="1:6" x14ac:dyDescent="0.3">
      <c r="A305" s="1" t="s">
        <v>382</v>
      </c>
      <c r="B305" s="1" t="s">
        <v>148</v>
      </c>
      <c r="C305" s="1" t="s">
        <v>205</v>
      </c>
      <c r="D305" s="1">
        <f>COUNTIF(Tabela1[Team],Tabela2[[#This Row],[Team]])</f>
        <v>0</v>
      </c>
      <c r="E305" s="1">
        <f>Tabela2[[#This Row],[Number Players]]-Tabela2[[#This Row],[Total Players]]</f>
        <v>0</v>
      </c>
      <c r="F305" s="1"/>
    </row>
    <row r="306" spans="1:6" x14ac:dyDescent="0.3">
      <c r="A306" s="1" t="s">
        <v>389</v>
      </c>
      <c r="B306" s="1" t="s">
        <v>158</v>
      </c>
      <c r="C306" s="1" t="s">
        <v>205</v>
      </c>
      <c r="D306" s="1">
        <f>COUNTIF(Tabela1[Team],Tabela2[[#This Row],[Team]])</f>
        <v>0</v>
      </c>
      <c r="E306" s="1">
        <f>Tabela2[[#This Row],[Number Players]]-Tabela2[[#This Row],[Total Players]]</f>
        <v>0</v>
      </c>
      <c r="F306" s="1"/>
    </row>
    <row r="307" spans="1:6" x14ac:dyDescent="0.3">
      <c r="A307" s="1" t="s">
        <v>384</v>
      </c>
      <c r="B307" s="1" t="s">
        <v>148</v>
      </c>
      <c r="C307" s="1" t="s">
        <v>205</v>
      </c>
      <c r="D307" s="1">
        <f>COUNTIF(Tabela1[Team],Tabela2[[#This Row],[Team]])</f>
        <v>0</v>
      </c>
      <c r="E307" s="1">
        <f>Tabela2[[#This Row],[Number Players]]-Tabela2[[#This Row],[Total Players]]</f>
        <v>0</v>
      </c>
      <c r="F307" s="1"/>
    </row>
    <row r="308" spans="1:6" x14ac:dyDescent="0.3">
      <c r="A308" s="1" t="s">
        <v>128</v>
      </c>
      <c r="B308" s="1" t="s">
        <v>165</v>
      </c>
      <c r="C308" s="1" t="s">
        <v>25</v>
      </c>
      <c r="D308" s="1">
        <f>COUNTIF(Tabela1[Team],Tabela2[[#This Row],[Team]])</f>
        <v>0</v>
      </c>
      <c r="E308" s="1">
        <f>Tabela2[[#This Row],[Number Players]]-Tabela2[[#This Row],[Total Players]]</f>
        <v>0</v>
      </c>
      <c r="F308" s="1"/>
    </row>
    <row r="309" spans="1:6" x14ac:dyDescent="0.3">
      <c r="A309" s="1" t="s">
        <v>397</v>
      </c>
      <c r="B309" s="1" t="s">
        <v>145</v>
      </c>
      <c r="C309" s="1" t="s">
        <v>25</v>
      </c>
      <c r="D309" s="1">
        <f>COUNTIF(Tabela1[Team],Tabela2[[#This Row],[Team]])</f>
        <v>0</v>
      </c>
      <c r="E309" s="1">
        <f>Tabela2[[#This Row],[Number Players]]-Tabela2[[#This Row],[Total Players]]</f>
        <v>0</v>
      </c>
      <c r="F309" s="1"/>
    </row>
    <row r="310" spans="1:6" x14ac:dyDescent="0.3">
      <c r="A310" s="1" t="s">
        <v>394</v>
      </c>
      <c r="B310" s="1" t="s">
        <v>147</v>
      </c>
      <c r="C310" s="1" t="s">
        <v>25</v>
      </c>
      <c r="D310" s="1">
        <f>COUNTIF(Tabela1[Team],Tabela2[[#This Row],[Team]])</f>
        <v>0</v>
      </c>
      <c r="E310" s="1">
        <f>Tabela2[[#This Row],[Number Players]]-Tabela2[[#This Row],[Total Players]]</f>
        <v>0</v>
      </c>
      <c r="F310" s="1"/>
    </row>
    <row r="311" spans="1:6" x14ac:dyDescent="0.3">
      <c r="A311" s="1" t="s">
        <v>393</v>
      </c>
      <c r="B311" s="1" t="s">
        <v>165</v>
      </c>
      <c r="C311" s="1" t="s">
        <v>25</v>
      </c>
      <c r="D311" s="1">
        <f>COUNTIF(Tabela1[Team],Tabela2[[#This Row],[Team]])</f>
        <v>0</v>
      </c>
      <c r="E311" s="1">
        <f>Tabela2[[#This Row],[Number Players]]-Tabela2[[#This Row],[Total Players]]</f>
        <v>0</v>
      </c>
      <c r="F311" s="1"/>
    </row>
    <row r="312" spans="1:6" x14ac:dyDescent="0.3">
      <c r="A312" s="1" t="s">
        <v>131</v>
      </c>
      <c r="B312" s="1" t="s">
        <v>158</v>
      </c>
      <c r="C312" s="1" t="s">
        <v>25</v>
      </c>
      <c r="D312" s="1">
        <f>COUNTIF(Tabela1[Team],Tabela2[[#This Row],[Team]])</f>
        <v>0</v>
      </c>
      <c r="E312" s="1">
        <f>Tabela2[[#This Row],[Number Players]]-Tabela2[[#This Row],[Total Players]]</f>
        <v>0</v>
      </c>
      <c r="F312" s="1"/>
    </row>
    <row r="313" spans="1:6" x14ac:dyDescent="0.3">
      <c r="A313" s="1" t="s">
        <v>126</v>
      </c>
      <c r="B313" s="1" t="s">
        <v>159</v>
      </c>
      <c r="C313" s="1" t="s">
        <v>25</v>
      </c>
      <c r="D313" s="1">
        <f>COUNTIF(Tabela1[Team],Tabela2[[#This Row],[Team]])</f>
        <v>0</v>
      </c>
      <c r="E313" s="1">
        <f>Tabela2[[#This Row],[Number Players]]-Tabela2[[#This Row],[Total Players]]</f>
        <v>0</v>
      </c>
      <c r="F313" s="1"/>
    </row>
    <row r="314" spans="1:6" x14ac:dyDescent="0.3">
      <c r="A314" s="1" t="s">
        <v>396</v>
      </c>
      <c r="B314" s="1" t="s">
        <v>158</v>
      </c>
      <c r="C314" s="1" t="s">
        <v>25</v>
      </c>
      <c r="D314" s="1">
        <f>COUNTIF(Tabela1[Team],Tabela2[[#This Row],[Team]])</f>
        <v>0</v>
      </c>
      <c r="E314" s="1">
        <f>Tabela2[[#This Row],[Number Players]]-Tabela2[[#This Row],[Total Players]]</f>
        <v>0</v>
      </c>
      <c r="F314" s="1"/>
    </row>
    <row r="315" spans="1:6" x14ac:dyDescent="0.3">
      <c r="A315" s="1" t="s">
        <v>123</v>
      </c>
      <c r="B315" s="1" t="s">
        <v>148</v>
      </c>
      <c r="C315" s="1" t="s">
        <v>25</v>
      </c>
      <c r="D315" s="1">
        <f>COUNTIF(Tabela1[Team],Tabela2[[#This Row],[Team]])</f>
        <v>0</v>
      </c>
      <c r="E315" s="1">
        <f>Tabela2[[#This Row],[Number Players]]-Tabela2[[#This Row],[Total Players]]</f>
        <v>0</v>
      </c>
      <c r="F315" s="1"/>
    </row>
    <row r="316" spans="1:6" x14ac:dyDescent="0.3">
      <c r="A316" s="1" t="s">
        <v>395</v>
      </c>
      <c r="B316" s="1" t="s">
        <v>163</v>
      </c>
      <c r="C316" s="1" t="s">
        <v>25</v>
      </c>
      <c r="D316" s="1">
        <f>COUNTIF(Tabela1[Team],Tabela2[[#This Row],[Team]])</f>
        <v>0</v>
      </c>
      <c r="E316" s="1">
        <f>Tabela2[[#This Row],[Number Players]]-Tabela2[[#This Row],[Total Players]]</f>
        <v>0</v>
      </c>
      <c r="F316" s="1"/>
    </row>
    <row r="317" spans="1:6" x14ac:dyDescent="0.3">
      <c r="A317" s="1" t="s">
        <v>124</v>
      </c>
      <c r="B317" s="1" t="s">
        <v>163</v>
      </c>
      <c r="C317" s="1" t="s">
        <v>25</v>
      </c>
      <c r="D317" s="1">
        <f>COUNTIF(Tabela1[Team],Tabela2[[#This Row],[Team]])</f>
        <v>0</v>
      </c>
      <c r="E317" s="1">
        <f>Tabela2[[#This Row],[Number Players]]-Tabela2[[#This Row],[Total Players]]</f>
        <v>0</v>
      </c>
      <c r="F317" s="1"/>
    </row>
    <row r="318" spans="1:6" x14ac:dyDescent="0.3">
      <c r="A318" s="1" t="s">
        <v>392</v>
      </c>
      <c r="B318" s="1" t="s">
        <v>157</v>
      </c>
      <c r="C318" s="1" t="s">
        <v>25</v>
      </c>
      <c r="D318" s="1">
        <f>COUNTIF(Tabela1[Team],Tabela2[[#This Row],[Team]])</f>
        <v>0</v>
      </c>
      <c r="E318" s="1">
        <f>Tabela2[[#This Row],[Number Players]]-Tabela2[[#This Row],[Total Players]]</f>
        <v>0</v>
      </c>
      <c r="F318" s="1"/>
    </row>
    <row r="319" spans="1:6" x14ac:dyDescent="0.3">
      <c r="A319" s="1" t="s">
        <v>398</v>
      </c>
      <c r="B319" s="1" t="s">
        <v>177</v>
      </c>
      <c r="C319" s="1" t="s">
        <v>206</v>
      </c>
      <c r="D319" s="1">
        <f>COUNTIF(Tabela1[Team],Tabela2[[#This Row],[Team]])</f>
        <v>0</v>
      </c>
      <c r="E319" s="1">
        <f>Tabela2[[#This Row],[Number Players]]-Tabela2[[#This Row],[Total Players]]</f>
        <v>0</v>
      </c>
      <c r="F319" s="1"/>
    </row>
    <row r="320" spans="1:6" x14ac:dyDescent="0.3">
      <c r="A320" s="1" t="s">
        <v>404</v>
      </c>
      <c r="B320" s="1" t="s">
        <v>144</v>
      </c>
      <c r="C320" s="1" t="s">
        <v>206</v>
      </c>
      <c r="D320" s="1">
        <f>COUNTIF(Tabela1[Team],Tabela2[[#This Row],[Team]])</f>
        <v>0</v>
      </c>
      <c r="E320" s="1">
        <f>Tabela2[[#This Row],[Number Players]]-Tabela2[[#This Row],[Total Players]]</f>
        <v>0</v>
      </c>
      <c r="F320" s="1"/>
    </row>
    <row r="321" spans="1:6" x14ac:dyDescent="0.3">
      <c r="A321" s="1" t="s">
        <v>401</v>
      </c>
      <c r="B321" s="1" t="s">
        <v>144</v>
      </c>
      <c r="C321" s="1" t="s">
        <v>206</v>
      </c>
      <c r="D321" s="1">
        <f>COUNTIF(Tabela1[Team],Tabela2[[#This Row],[Team]])</f>
        <v>0</v>
      </c>
      <c r="E321" s="1">
        <f>Tabela2[[#This Row],[Number Players]]-Tabela2[[#This Row],[Total Players]]</f>
        <v>0</v>
      </c>
      <c r="F321" s="1"/>
    </row>
    <row r="322" spans="1:6" x14ac:dyDescent="0.3">
      <c r="A322" s="1" t="s">
        <v>403</v>
      </c>
      <c r="B322" s="1" t="s">
        <v>175</v>
      </c>
      <c r="C322" s="1" t="s">
        <v>206</v>
      </c>
      <c r="D322" s="1">
        <f>COUNTIF(Tabela1[Team],Tabela2[[#This Row],[Team]])</f>
        <v>0</v>
      </c>
      <c r="E322" s="1">
        <f>Tabela2[[#This Row],[Number Players]]-Tabela2[[#This Row],[Total Players]]</f>
        <v>0</v>
      </c>
      <c r="F322" s="1"/>
    </row>
    <row r="323" spans="1:6" x14ac:dyDescent="0.3">
      <c r="A323" s="1" t="s">
        <v>402</v>
      </c>
      <c r="B323" s="1" t="s">
        <v>144</v>
      </c>
      <c r="C323" s="1" t="s">
        <v>206</v>
      </c>
      <c r="D323" s="1">
        <f>COUNTIF(Tabela1[Team],Tabela2[[#This Row],[Team]])</f>
        <v>0</v>
      </c>
      <c r="E323" s="1">
        <f>Tabela2[[#This Row],[Number Players]]-Tabela2[[#This Row],[Total Players]]</f>
        <v>0</v>
      </c>
      <c r="F323" s="1"/>
    </row>
    <row r="324" spans="1:6" x14ac:dyDescent="0.3">
      <c r="A324" s="1" t="s">
        <v>399</v>
      </c>
      <c r="B324" s="1" t="s">
        <v>144</v>
      </c>
      <c r="C324" s="1" t="s">
        <v>206</v>
      </c>
      <c r="D324" s="1">
        <f>COUNTIF(Tabela1[Team],Tabela2[[#This Row],[Team]])</f>
        <v>0</v>
      </c>
      <c r="E324" s="1">
        <f>Tabela2[[#This Row],[Number Players]]-Tabela2[[#This Row],[Total Players]]</f>
        <v>0</v>
      </c>
      <c r="F324" s="1"/>
    </row>
    <row r="325" spans="1:6" x14ac:dyDescent="0.3">
      <c r="A325" s="1" t="s">
        <v>400</v>
      </c>
      <c r="B325" s="1" t="s">
        <v>144</v>
      </c>
      <c r="C325" s="1" t="s">
        <v>206</v>
      </c>
      <c r="D325" s="1">
        <f>COUNTIF(Tabela1[Team],Tabela2[[#This Row],[Team]])</f>
        <v>0</v>
      </c>
      <c r="E325" s="1">
        <f>Tabela2[[#This Row],[Number Players]]-Tabela2[[#This Row],[Total Players]]</f>
        <v>0</v>
      </c>
      <c r="F325" s="1"/>
    </row>
    <row r="326" spans="1:6" x14ac:dyDescent="0.3">
      <c r="A326" s="1" t="s">
        <v>405</v>
      </c>
      <c r="B326" s="1" t="s">
        <v>144</v>
      </c>
      <c r="C326" s="1" t="s">
        <v>206</v>
      </c>
      <c r="D326" s="1">
        <f>COUNTIF(Tabela1[Team],Tabela2[[#This Row],[Team]])</f>
        <v>0</v>
      </c>
      <c r="E326" s="1">
        <f>Tabela2[[#This Row],[Number Players]]-Tabela2[[#This Row],[Total Players]]</f>
        <v>0</v>
      </c>
      <c r="F326" s="1"/>
    </row>
    <row r="327" spans="1:6" x14ac:dyDescent="0.3">
      <c r="A327" s="1" t="s">
        <v>132</v>
      </c>
      <c r="B327" s="1" t="s">
        <v>153</v>
      </c>
      <c r="C327" s="1" t="s">
        <v>26</v>
      </c>
      <c r="D327" s="1">
        <f>COUNTIF(Tabela1[Team],Tabela2[[#This Row],[Team]])</f>
        <v>0</v>
      </c>
      <c r="E327" s="1">
        <f>Tabela2[[#This Row],[Number Players]]-Tabela2[[#This Row],[Total Players]]</f>
        <v>0</v>
      </c>
      <c r="F327" s="1"/>
    </row>
    <row r="328" spans="1:6" x14ac:dyDescent="0.3">
      <c r="A328" s="1" t="s">
        <v>134</v>
      </c>
      <c r="B328" s="1" t="s">
        <v>144</v>
      </c>
      <c r="C328" s="1" t="s">
        <v>26</v>
      </c>
      <c r="D328" s="1">
        <f>COUNTIF(Tabela1[Team],Tabela2[[#This Row],[Team]])</f>
        <v>0</v>
      </c>
      <c r="E328" s="1">
        <f>Tabela2[[#This Row],[Number Players]]-Tabela2[[#This Row],[Total Players]]</f>
        <v>0</v>
      </c>
      <c r="F328" s="1"/>
    </row>
    <row r="329" spans="1:6" x14ac:dyDescent="0.3">
      <c r="A329" s="1" t="s">
        <v>141</v>
      </c>
      <c r="B329" s="1" t="s">
        <v>152</v>
      </c>
      <c r="C329" s="1" t="s">
        <v>26</v>
      </c>
      <c r="D329" s="1">
        <f>COUNTIF(Tabela1[Team],Tabela2[[#This Row],[Team]])</f>
        <v>0</v>
      </c>
      <c r="E329" s="1">
        <f>Tabela2[[#This Row],[Number Players]]-Tabela2[[#This Row],[Total Players]]</f>
        <v>0</v>
      </c>
      <c r="F329" s="1"/>
    </row>
    <row r="330" spans="1:6" x14ac:dyDescent="0.3">
      <c r="A330" s="1" t="s">
        <v>130</v>
      </c>
      <c r="B330" s="1" t="s">
        <v>153</v>
      </c>
      <c r="C330" s="1" t="s">
        <v>26</v>
      </c>
      <c r="D330" s="1">
        <f>COUNTIF(Tabela1[Team],Tabela2[[#This Row],[Team]])</f>
        <v>0</v>
      </c>
      <c r="E330" s="1">
        <f>Tabela2[[#This Row],[Number Players]]-Tabela2[[#This Row],[Total Players]]</f>
        <v>0</v>
      </c>
      <c r="F330" s="1"/>
    </row>
    <row r="331" spans="1:6" x14ac:dyDescent="0.3">
      <c r="A331" s="1" t="s">
        <v>135</v>
      </c>
      <c r="B331" s="1" t="s">
        <v>158</v>
      </c>
      <c r="C331" s="1" t="s">
        <v>26</v>
      </c>
      <c r="D331" s="1">
        <f>COUNTIF(Tabela1[Team],Tabela2[[#This Row],[Team]])</f>
        <v>0</v>
      </c>
      <c r="E331" s="1">
        <f>Tabela2[[#This Row],[Number Players]]-Tabela2[[#This Row],[Total Players]]</f>
        <v>0</v>
      </c>
      <c r="F331" s="1"/>
    </row>
    <row r="332" spans="1:6" x14ac:dyDescent="0.3">
      <c r="A332" s="1" t="s">
        <v>136</v>
      </c>
      <c r="B332" s="1" t="s">
        <v>173</v>
      </c>
      <c r="C332" s="1" t="s">
        <v>26</v>
      </c>
      <c r="D332" s="1">
        <f>COUNTIF(Tabela1[Team],Tabela2[[#This Row],[Team]])</f>
        <v>0</v>
      </c>
      <c r="E332" s="1">
        <f>Tabela2[[#This Row],[Number Players]]-Tabela2[[#This Row],[Total Players]]</f>
        <v>0</v>
      </c>
      <c r="F332" s="1"/>
    </row>
    <row r="333" spans="1:6" x14ac:dyDescent="0.3">
      <c r="A333" s="1" t="s">
        <v>125</v>
      </c>
      <c r="B333" s="1" t="s">
        <v>183</v>
      </c>
      <c r="C333" s="1" t="s">
        <v>26</v>
      </c>
      <c r="D333" s="1">
        <f>COUNTIF(Tabela1[Team],Tabela2[[#This Row],[Team]])</f>
        <v>0</v>
      </c>
      <c r="E333" s="1">
        <f>Tabela2[[#This Row],[Number Players]]-Tabela2[[#This Row],[Total Players]]</f>
        <v>0</v>
      </c>
      <c r="F333" s="1"/>
    </row>
    <row r="334" spans="1:6" x14ac:dyDescent="0.3">
      <c r="A334" s="1" t="s">
        <v>140</v>
      </c>
      <c r="B334" s="1" t="s">
        <v>144</v>
      </c>
      <c r="C334" s="1" t="s">
        <v>26</v>
      </c>
      <c r="D334" s="1">
        <f>COUNTIF(Tabela1[Team],Tabela2[[#This Row],[Team]])</f>
        <v>0</v>
      </c>
      <c r="E334" s="1">
        <f>Tabela2[[#This Row],[Number Players]]-Tabela2[[#This Row],[Total Players]]</f>
        <v>0</v>
      </c>
      <c r="F334" s="1"/>
    </row>
    <row r="335" spans="1:6" x14ac:dyDescent="0.3">
      <c r="A335" s="1" t="s">
        <v>129</v>
      </c>
      <c r="B335" s="1" t="s">
        <v>150</v>
      </c>
      <c r="C335" s="1" t="s">
        <v>26</v>
      </c>
      <c r="D335" s="1">
        <f>COUNTIF(Tabela1[Team],Tabela2[[#This Row],[Team]])</f>
        <v>0</v>
      </c>
      <c r="E335" s="1">
        <f>Tabela2[[#This Row],[Number Players]]-Tabela2[[#This Row],[Total Players]]</f>
        <v>0</v>
      </c>
      <c r="F335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33"/>
  <sheetViews>
    <sheetView topLeftCell="A19" workbookViewId="0">
      <selection activeCell="A34" sqref="A34"/>
    </sheetView>
  </sheetViews>
  <sheetFormatPr defaultRowHeight="14.4" x14ac:dyDescent="0.3"/>
  <cols>
    <col min="1" max="1" width="30.6640625" bestFit="1" customWidth="1"/>
    <col min="2" max="2" width="16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1" t="s">
        <v>187</v>
      </c>
      <c r="B2" s="1">
        <f>COUNTIF(Tabela2[Conference],Tabela4[[#This Row],[Conference]])</f>
        <v>9</v>
      </c>
    </row>
    <row r="3" spans="1:2" x14ac:dyDescent="0.3">
      <c r="A3" s="1" t="s">
        <v>188</v>
      </c>
      <c r="B3" s="1">
        <f>COUNTIF(Tabela2[Conference],Tabela4[[#This Row],[Conference]])</f>
        <v>14</v>
      </c>
    </row>
    <row r="4" spans="1:2" x14ac:dyDescent="0.3">
      <c r="A4" s="1" t="s">
        <v>16</v>
      </c>
      <c r="B4" s="1">
        <f>COUNTIF(Tabela2[Conference],Tabela4[[#This Row],[Conference]])</f>
        <v>12</v>
      </c>
    </row>
    <row r="5" spans="1:2" x14ac:dyDescent="0.3">
      <c r="A5" s="1" t="s">
        <v>189</v>
      </c>
      <c r="B5" s="1">
        <f>COUNTIF(Tabela2[Conference],Tabela4[[#This Row],[Conference]])</f>
        <v>11</v>
      </c>
    </row>
    <row r="6" spans="1:2" x14ac:dyDescent="0.3">
      <c r="A6" s="1" t="s">
        <v>17</v>
      </c>
      <c r="B6" s="1">
        <f>COUNTIF(Tabela2[Conference],Tabela4[[#This Row],[Conference]])</f>
        <v>12</v>
      </c>
    </row>
    <row r="7" spans="1:2" x14ac:dyDescent="0.3">
      <c r="A7" s="1" t="s">
        <v>18</v>
      </c>
      <c r="B7" s="1">
        <f>COUNTIF(Tabela2[Conference],Tabela4[[#This Row],[Conference]])</f>
        <v>16</v>
      </c>
    </row>
    <row r="8" spans="1:2" x14ac:dyDescent="0.3">
      <c r="A8" s="1" t="s">
        <v>190</v>
      </c>
      <c r="B8" s="1">
        <f>COUNTIF(Tabela2[Conference],Tabela4[[#This Row],[Conference]])</f>
        <v>8</v>
      </c>
    </row>
    <row r="9" spans="1:2" x14ac:dyDescent="0.3">
      <c r="A9" s="1" t="s">
        <v>191</v>
      </c>
      <c r="B9" s="1">
        <f>COUNTIF(Tabela2[Conference],Tabela4[[#This Row],[Conference]])</f>
        <v>9</v>
      </c>
    </row>
    <row r="10" spans="1:2" x14ac:dyDescent="0.3">
      <c r="A10" s="1" t="s">
        <v>19</v>
      </c>
      <c r="B10" s="1">
        <f>COUNTIF(Tabela2[Conference],Tabela4[[#This Row],[Conference]])</f>
        <v>11</v>
      </c>
    </row>
    <row r="11" spans="1:2" x14ac:dyDescent="0.3">
      <c r="A11" s="1" t="s">
        <v>192</v>
      </c>
      <c r="B11" s="1">
        <f>COUNTIF(Tabela2[Conference],Tabela4[[#This Row],[Conference]])</f>
        <v>8</v>
      </c>
    </row>
    <row r="12" spans="1:2" x14ac:dyDescent="0.3">
      <c r="A12" s="1" t="s">
        <v>193</v>
      </c>
      <c r="B12" s="1">
        <f>COUNTIF(Tabela2[Conference],Tabela4[[#This Row],[Conference]])</f>
        <v>12</v>
      </c>
    </row>
    <row r="13" spans="1:2" x14ac:dyDescent="0.3">
      <c r="A13" s="1" t="s">
        <v>20</v>
      </c>
      <c r="B13" s="1">
        <f>COUNTIF(Tabela2[Conference],Tabela4[[#This Row],[Conference]])</f>
        <v>12</v>
      </c>
    </row>
    <row r="14" spans="1:2" x14ac:dyDescent="0.3">
      <c r="A14" s="1" t="s">
        <v>194</v>
      </c>
      <c r="B14" s="1">
        <f>COUNTIF(Tabela2[Conference],Tabela4[[#This Row],[Conference]])</f>
        <v>9</v>
      </c>
    </row>
    <row r="15" spans="1:2" x14ac:dyDescent="0.3">
      <c r="A15" s="1" t="s">
        <v>27</v>
      </c>
      <c r="B15" s="1">
        <f>COUNTIF(Tabela2[Conference],Tabela4[[#This Row],[Conference]])</f>
        <v>10</v>
      </c>
    </row>
    <row r="16" spans="1:2" x14ac:dyDescent="0.3">
      <c r="A16" s="1" t="s">
        <v>195</v>
      </c>
      <c r="B16" s="1">
        <f>COUNTIF(Tabela2[Conference],Tabela4[[#This Row],[Conference]])</f>
        <v>8</v>
      </c>
    </row>
    <row r="17" spans="1:2" x14ac:dyDescent="0.3">
      <c r="A17" s="1" t="s">
        <v>196</v>
      </c>
      <c r="B17" s="1">
        <f>COUNTIF(Tabela2[Conference],Tabela4[[#This Row],[Conference]])</f>
        <v>10</v>
      </c>
    </row>
    <row r="18" spans="1:2" x14ac:dyDescent="0.3">
      <c r="A18" s="1" t="s">
        <v>21</v>
      </c>
      <c r="B18" s="1">
        <f>COUNTIF(Tabela2[Conference],Tabela4[[#This Row],[Conference]])</f>
        <v>12</v>
      </c>
    </row>
    <row r="19" spans="1:2" x14ac:dyDescent="0.3">
      <c r="A19" s="1" t="s">
        <v>197</v>
      </c>
      <c r="B19" s="1">
        <f>COUNTIF(Tabela2[Conference],Tabela4[[#This Row],[Conference]])</f>
        <v>9</v>
      </c>
    </row>
    <row r="20" spans="1:2" x14ac:dyDescent="0.3">
      <c r="A20" s="1" t="s">
        <v>198</v>
      </c>
      <c r="B20" s="1">
        <f>COUNTIF(Tabela2[Conference],Tabela4[[#This Row],[Conference]])</f>
        <v>11</v>
      </c>
    </row>
    <row r="21" spans="1:2" x14ac:dyDescent="0.3">
      <c r="A21" s="1" t="s">
        <v>199</v>
      </c>
      <c r="B21" s="1">
        <f>COUNTIF(Tabela2[Conference],Tabela4[[#This Row],[Conference]])</f>
        <v>10</v>
      </c>
    </row>
    <row r="22" spans="1:2" x14ac:dyDescent="0.3">
      <c r="A22" s="1" t="s">
        <v>22</v>
      </c>
      <c r="B22" s="1">
        <f>COUNTIF(Tabela2[Conference],Tabela4[[#This Row],[Conference]])</f>
        <v>9</v>
      </c>
    </row>
    <row r="23" spans="1:2" x14ac:dyDescent="0.3">
      <c r="A23" s="1" t="s">
        <v>200</v>
      </c>
      <c r="B23" s="1">
        <f>COUNTIF(Tabela2[Conference],Tabela4[[#This Row],[Conference]])</f>
        <v>11</v>
      </c>
    </row>
    <row r="24" spans="1:2" x14ac:dyDescent="0.3">
      <c r="A24" s="1" t="s">
        <v>201</v>
      </c>
      <c r="B24" s="1">
        <f>COUNTIF(Tabela2[Conference],Tabela4[[#This Row],[Conference]])</f>
        <v>11</v>
      </c>
    </row>
    <row r="25" spans="1:2" x14ac:dyDescent="0.3">
      <c r="A25" s="1" t="s">
        <v>23</v>
      </c>
      <c r="B25" s="1">
        <f>COUNTIF(Tabela2[Conference],Tabela4[[#This Row],[Conference]])</f>
        <v>10</v>
      </c>
    </row>
    <row r="26" spans="1:2" x14ac:dyDescent="0.3">
      <c r="A26" s="1" t="s">
        <v>202</v>
      </c>
      <c r="B26" s="1">
        <f>COUNTIF(Tabela2[Conference],Tabela4[[#This Row],[Conference]])</f>
        <v>8</v>
      </c>
    </row>
    <row r="27" spans="1:2" x14ac:dyDescent="0.3">
      <c r="A27" s="1" t="s">
        <v>24</v>
      </c>
      <c r="B27" s="1">
        <f>COUNTIF(Tabela2[Conference],Tabela4[[#This Row],[Conference]])</f>
        <v>12</v>
      </c>
    </row>
    <row r="28" spans="1:2" x14ac:dyDescent="0.3">
      <c r="A28" s="1" t="s">
        <v>203</v>
      </c>
      <c r="B28" s="1">
        <f>COUNTIF(Tabela2[Conference],Tabela4[[#This Row],[Conference]])</f>
        <v>11</v>
      </c>
    </row>
    <row r="29" spans="1:2" x14ac:dyDescent="0.3">
      <c r="A29" s="1" t="s">
        <v>204</v>
      </c>
      <c r="B29" s="1">
        <f>COUNTIF(Tabela2[Conference],Tabela4[[#This Row],[Conference]])</f>
        <v>11</v>
      </c>
    </row>
    <row r="30" spans="1:2" x14ac:dyDescent="0.3">
      <c r="A30" s="1" t="s">
        <v>205</v>
      </c>
      <c r="B30" s="1">
        <f>COUNTIF(Tabela2[Conference],Tabela4[[#This Row],[Conference]])</f>
        <v>10</v>
      </c>
    </row>
    <row r="31" spans="1:2" x14ac:dyDescent="0.3">
      <c r="A31" s="1" t="s">
        <v>25</v>
      </c>
      <c r="B31" s="1">
        <f>COUNTIF(Tabela2[Conference],Tabela4[[#This Row],[Conference]])</f>
        <v>11</v>
      </c>
    </row>
    <row r="32" spans="1:2" x14ac:dyDescent="0.3">
      <c r="A32" s="1" t="s">
        <v>206</v>
      </c>
      <c r="B32" s="1">
        <f>COUNTIF(Tabela2[Conference],Tabela4[[#This Row],[Conference]])</f>
        <v>8</v>
      </c>
    </row>
    <row r="33" spans="1:2" x14ac:dyDescent="0.3">
      <c r="A33" s="1" t="s">
        <v>26</v>
      </c>
      <c r="B33" s="1">
        <f>COUNTIF(Tabela2[Conference],Tabela4[[#This Row],[Conference]])</f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6</v>
      </c>
      <c r="B1" t="s">
        <v>8</v>
      </c>
      <c r="C1" t="s">
        <v>7</v>
      </c>
      <c r="D1" t="s">
        <v>4</v>
      </c>
      <c r="E1" t="s">
        <v>10</v>
      </c>
      <c r="F1" t="s">
        <v>9</v>
      </c>
    </row>
    <row r="2" spans="1:6" x14ac:dyDescent="0.3">
      <c r="A2" s="1">
        <v>2006</v>
      </c>
      <c r="B2" s="2" t="e">
        <f>SUMIFS(Tabela1[Rating],Tabela1[NBA Draft Year],Tabela3[[#This Row],[Draft]])/Tabela3[[#This Row],[Total Players]]</f>
        <v>#DIV/0!</v>
      </c>
      <c r="C2" s="1">
        <f>COUNTIFS(Tabela1[NBA Draft Year],Tabela3[[#This Row],[Draft]],Tabela1[NBA Draft Pick],"&gt;0")</f>
        <v>0</v>
      </c>
      <c r="D2" s="1">
        <f>COUNTIFS(Tabela1[NBA Draft Year],Tabela3[[#This Row],[Draft]])</f>
        <v>0</v>
      </c>
      <c r="E2" s="1">
        <f>COUNTIFS(Tabela1[NBA Draft Year],Tabela3[[#This Row],[Draft]],Tabela1[Rating],"&lt;90")-COUNTIFS(Tabela1[NBA Draft Year],Tabela3[[#This Row],[Draft]],Tabela1[Rating],"&lt;80")</f>
        <v>0</v>
      </c>
      <c r="F2" s="1">
        <f>COUNTIFS(Tabela1[NBA Draft Year],Tabela3[[#This Row],[Draft]],Tabela1[Rating],"&lt;100")-COUNTIFS(Tabela1[NBA Draft Year],Tabela3[[#This Row],[Draft]],Tabela1[Rating],"&lt;90")</f>
        <v>0</v>
      </c>
    </row>
    <row r="3" spans="1:6" x14ac:dyDescent="0.3">
      <c r="A3" s="1">
        <v>2007</v>
      </c>
      <c r="B3" s="2" t="e">
        <f>SUMIFS(Tabela1[Rating],Tabela1[NBA Draft Year],Tabela3[[#This Row],[Draft]])/Tabela3[[#This Row],[Total Players]]</f>
        <v>#DIV/0!</v>
      </c>
      <c r="C3" s="1">
        <f>COUNTIFS(Tabela1[NBA Draft Year],Tabela3[[#This Row],[Draft]],Tabela1[NBA Draft Pick],"&gt;0")</f>
        <v>0</v>
      </c>
      <c r="D3" s="1">
        <f>COUNTIFS(Tabela1[NBA Draft Year],Tabela3[[#This Row],[Draft]])</f>
        <v>0</v>
      </c>
      <c r="E3" s="1">
        <f>COUNTIFS(Tabela1[NBA Draft Year],Tabela3[[#This Row],[Draft]],Tabela1[Rating],"&lt;90")-COUNTIFS(Tabela1[NBA Draft Year],Tabela3[[#This Row],[Draft]],Tabela1[Rating],"&lt;80")</f>
        <v>0</v>
      </c>
      <c r="F3" s="1">
        <f>COUNTIFS(Tabela1[NBA Draft Year],Tabela3[[#This Row],[Draft]],Tabela1[Rating],"&lt;100")-COUNTIFS(Tabela1[NBA Draft Year],Tabela3[[#This Row],[Draft]],Tabela1[Rating],"&lt;90")</f>
        <v>0</v>
      </c>
    </row>
    <row r="4" spans="1:6" x14ac:dyDescent="0.3">
      <c r="A4" s="1">
        <v>2008</v>
      </c>
      <c r="B4" s="2" t="e">
        <f>SUMIFS(Tabela1[Rating],Tabela1[NBA Draft Year],Tabela3[[#This Row],[Draft]])/Tabela3[[#This Row],[Total Players]]</f>
        <v>#DIV/0!</v>
      </c>
      <c r="C4" s="1">
        <f>COUNTIFS(Tabela1[NBA Draft Year],Tabela3[[#This Row],[Draft]],Tabela1[NBA Draft Pick],"&gt;0")</f>
        <v>0</v>
      </c>
      <c r="D4" s="1">
        <f>COUNTIFS(Tabela1[NBA Draft Year],Tabela3[[#This Row],[Draft]])</f>
        <v>0</v>
      </c>
      <c r="E4" s="1">
        <f>COUNTIFS(Tabela1[NBA Draft Year],Tabela3[[#This Row],[Draft]],Tabela1[Rating],"&lt;90")-COUNTIFS(Tabela1[NBA Draft Year],Tabela3[[#This Row],[Draft]],Tabela1[Rating],"&lt;80")</f>
        <v>0</v>
      </c>
      <c r="F4" s="1">
        <f>COUNTIFS(Tabela1[NBA Draft Year],Tabela3[[#This Row],[Draft]],Tabela1[Rating],"&lt;100")-COUNTIFS(Tabela1[NBA Draft Year],Tabela3[[#This Row],[Draft]],Tabela1[Rating],"&lt;90")</f>
        <v>0</v>
      </c>
    </row>
    <row r="5" spans="1:6" x14ac:dyDescent="0.3">
      <c r="A5" s="1">
        <v>2009</v>
      </c>
      <c r="B5" s="2" t="e">
        <f>SUMIFS(Tabela1[Rating],Tabela1[NBA Draft Year],Tabela3[[#This Row],[Draft]])/Tabela3[[#This Row],[Total Players]]</f>
        <v>#DIV/0!</v>
      </c>
      <c r="C5" s="1">
        <f>COUNTIFS(Tabela1[NBA Draft Year],Tabela3[[#This Row],[Draft]],Tabela1[NBA Draft Pick],"&gt;0")</f>
        <v>0</v>
      </c>
      <c r="D5" s="1">
        <f>COUNTIFS(Tabela1[NBA Draft Year],Tabela3[[#This Row],[Draft]])</f>
        <v>0</v>
      </c>
      <c r="E5" s="1">
        <f>COUNTIFS(Tabela1[NBA Draft Year],Tabela3[[#This Row],[Draft]],Tabela1[Rating],"&lt;90")-COUNTIFS(Tabela1[NBA Draft Year],Tabela3[[#This Row],[Draft]],Tabela1[Rating],"&lt;80")</f>
        <v>0</v>
      </c>
      <c r="F5" s="1">
        <f>COUNTIFS(Tabela1[NBA Draft Year],Tabela3[[#This Row],[Draft]],Tabela1[Rating],"&lt;100")-COUNTIFS(Tabela1[NBA Draft Year],Tabela3[[#This Row],[Draft]],Tabela1[Rating],"&lt;90")</f>
        <v>0</v>
      </c>
    </row>
    <row r="6" spans="1:6" x14ac:dyDescent="0.3">
      <c r="A6" s="1">
        <v>2010</v>
      </c>
      <c r="B6" s="2" t="e">
        <f>SUMIFS(Tabela1[Rating],Tabela1[NBA Draft Year],Tabela3[[#This Row],[Draft]])/Tabela3[[#This Row],[Total Players]]</f>
        <v>#DIV/0!</v>
      </c>
      <c r="C6" s="1">
        <f>COUNTIFS(Tabela1[NBA Draft Year],Tabela3[[#This Row],[Draft]],Tabela1[NBA Draft Pick],"&gt;0")</f>
        <v>0</v>
      </c>
      <c r="D6" s="1">
        <f>COUNTIFS(Tabela1[NBA Draft Year],Tabela3[[#This Row],[Draft]])</f>
        <v>0</v>
      </c>
      <c r="E6" s="1">
        <f>COUNTIFS(Tabela1[NBA Draft Year],Tabela3[[#This Row],[Draft]],Tabela1[Rating],"&lt;90")-COUNTIFS(Tabela1[NBA Draft Year],Tabela3[[#This Row],[Draft]],Tabela1[Rating],"&lt;80")</f>
        <v>0</v>
      </c>
      <c r="F6" s="1">
        <f>COUNTIFS(Tabela1[NBA Draft Year],Tabela3[[#This Row],[Draft]],Tabela1[Rating],"&lt;100")-COUNTIFS(Tabela1[NBA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2026-01-28T14:38:41Z</dcterms:modified>
</cp:coreProperties>
</file>