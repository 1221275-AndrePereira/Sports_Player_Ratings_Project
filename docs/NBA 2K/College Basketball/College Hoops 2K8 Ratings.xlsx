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987" documentId="11_AD4DF034E34935FBC521DCD7BFD97F025BDEDD8C" xr6:coauthVersionLast="47" xr6:coauthVersionMax="47" xr10:uidLastSave="{3D7B7DF5-C0F4-4950-9993-148FF3C93D43}"/>
  <bookViews>
    <workbookView xWindow="84" yWindow="1152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2" l="1"/>
  <c r="E153" i="2" s="1"/>
  <c r="D48" i="2"/>
  <c r="E48" i="2" s="1"/>
  <c r="D40" i="2"/>
  <c r="E40" i="2" s="1"/>
  <c r="D152" i="2"/>
  <c r="E152" i="2" s="1"/>
  <c r="D148" i="2"/>
  <c r="E148" i="2" s="1"/>
  <c r="D281" i="2"/>
  <c r="E281" i="2" s="1"/>
  <c r="D198" i="2"/>
  <c r="E198" i="2" s="1"/>
  <c r="D151" i="2"/>
  <c r="E151" i="2" s="1"/>
  <c r="D46" i="2"/>
  <c r="E46" i="2" s="1"/>
  <c r="D43" i="2"/>
  <c r="E43" i="2" s="1"/>
  <c r="D310" i="2"/>
  <c r="E310" i="2" s="1"/>
  <c r="D82" i="2"/>
  <c r="E82" i="2" s="1"/>
  <c r="D307" i="2"/>
  <c r="E307" i="2" s="1"/>
  <c r="D150" i="2"/>
  <c r="E150" i="2" s="1"/>
  <c r="D110" i="2"/>
  <c r="E110" i="2" s="1"/>
  <c r="D155" i="2"/>
  <c r="E155" i="2" s="1"/>
  <c r="D154" i="2"/>
  <c r="E154" i="2" s="1"/>
  <c r="D44" i="2"/>
  <c r="E44" i="2" s="1"/>
  <c r="D304" i="2"/>
  <c r="E304" i="2" s="1"/>
  <c r="D156" i="2"/>
  <c r="E156" i="2" s="1"/>
  <c r="D290" i="2"/>
  <c r="E290" i="2" s="1"/>
  <c r="D303" i="2"/>
  <c r="E303" i="2" s="1"/>
  <c r="D137" i="2"/>
  <c r="E137" i="2" s="1"/>
  <c r="D341" i="2"/>
  <c r="E341" i="2" s="1"/>
  <c r="D334" i="2"/>
  <c r="E334" i="2" s="1"/>
  <c r="D338" i="2"/>
  <c r="E338" i="2" s="1"/>
  <c r="D336" i="2"/>
  <c r="E336" i="2" s="1"/>
  <c r="D130" i="2"/>
  <c r="E130" i="2" s="1"/>
  <c r="D339" i="2"/>
  <c r="E339" i="2" s="1"/>
  <c r="D131" i="2"/>
  <c r="E131" i="2" s="1"/>
  <c r="D134" i="2"/>
  <c r="E134" i="2" s="1"/>
  <c r="D335" i="2"/>
  <c r="E335" i="2" s="1"/>
  <c r="D333" i="2"/>
  <c r="E333" i="2" s="1"/>
  <c r="D327" i="2"/>
  <c r="E327" i="2" s="1"/>
  <c r="D329" i="2"/>
  <c r="E329" i="2" s="1"/>
  <c r="D330" i="2"/>
  <c r="E330" i="2" s="1"/>
  <c r="D328" i="2"/>
  <c r="E328" i="2" s="1"/>
  <c r="D332" i="2"/>
  <c r="E332" i="2" s="1"/>
  <c r="D331" i="2"/>
  <c r="E331" i="2" s="1"/>
  <c r="D326" i="2"/>
  <c r="E326" i="2" s="1"/>
  <c r="D322" i="2"/>
  <c r="E322" i="2" s="1"/>
  <c r="D314" i="2"/>
  <c r="E314" i="2" s="1"/>
  <c r="D321" i="2"/>
  <c r="E321" i="2" s="1"/>
  <c r="D323" i="2"/>
  <c r="E323" i="2" s="1"/>
  <c r="D340" i="2"/>
  <c r="E340" i="2" s="1"/>
  <c r="D318" i="2"/>
  <c r="E318" i="2" s="1"/>
  <c r="D315" i="2"/>
  <c r="E315" i="2" s="1"/>
  <c r="D313" i="2"/>
  <c r="E313" i="2" s="1"/>
  <c r="D317" i="2"/>
  <c r="E317" i="2" s="1"/>
  <c r="D320" i="2"/>
  <c r="E320" i="2" s="1"/>
  <c r="D325" i="2"/>
  <c r="E325" i="2" s="1"/>
  <c r="D296" i="2"/>
  <c r="E296" i="2" s="1"/>
  <c r="D293" i="2"/>
  <c r="E293" i="2" s="1"/>
  <c r="D301" i="2"/>
  <c r="E301" i="2" s="1"/>
  <c r="D298" i="2"/>
  <c r="E298" i="2" s="1"/>
  <c r="D297" i="2"/>
  <c r="E297" i="2" s="1"/>
  <c r="D295" i="2"/>
  <c r="E295" i="2" s="1"/>
  <c r="D294" i="2"/>
  <c r="E294" i="2" s="1"/>
  <c r="D302" i="2"/>
  <c r="E302" i="2" s="1"/>
  <c r="D299" i="2"/>
  <c r="E299" i="2" s="1"/>
  <c r="D300" i="2"/>
  <c r="E300" i="2" s="1"/>
  <c r="D284" i="2"/>
  <c r="E284" i="2" s="1"/>
  <c r="D285" i="2"/>
  <c r="E285" i="2" s="1"/>
  <c r="D292" i="2"/>
  <c r="E292" i="2" s="1"/>
  <c r="D287" i="2"/>
  <c r="E287" i="2" s="1"/>
  <c r="D319" i="2"/>
  <c r="E319" i="2" s="1"/>
  <c r="D282" i="2"/>
  <c r="E282" i="2" s="1"/>
  <c r="D283" i="2"/>
  <c r="E283" i="2" s="1"/>
  <c r="D288" i="2"/>
  <c r="E288" i="2" s="1"/>
  <c r="D291" i="2"/>
  <c r="E291" i="2" s="1"/>
  <c r="D289" i="2"/>
  <c r="E289" i="2" s="1"/>
  <c r="D286" i="2"/>
  <c r="E286" i="2" s="1"/>
  <c r="D277" i="2"/>
  <c r="E277" i="2" s="1"/>
  <c r="D275" i="2"/>
  <c r="E275" i="2" s="1"/>
  <c r="D280" i="2"/>
  <c r="E280" i="2" s="1"/>
  <c r="D276" i="2"/>
  <c r="E276" i="2" s="1"/>
  <c r="D272" i="2"/>
  <c r="E272" i="2" s="1"/>
  <c r="D271" i="2"/>
  <c r="E271" i="2" s="1"/>
  <c r="D278" i="2"/>
  <c r="E278" i="2" s="1"/>
  <c r="D92" i="2"/>
  <c r="E92" i="2" s="1"/>
  <c r="D279" i="2"/>
  <c r="E279" i="2" s="1"/>
  <c r="D270" i="2"/>
  <c r="E270" i="2" s="1"/>
  <c r="D39" i="2"/>
  <c r="E39" i="2" s="1"/>
  <c r="D273" i="2"/>
  <c r="E273" i="2" s="1"/>
  <c r="D259" i="2"/>
  <c r="E259" i="2" s="1"/>
  <c r="D266" i="2"/>
  <c r="E266" i="2" s="1"/>
  <c r="D258" i="2"/>
  <c r="E258" i="2" s="1"/>
  <c r="D264" i="2"/>
  <c r="E264" i="2" s="1"/>
  <c r="D260" i="2"/>
  <c r="E260" i="2" s="1"/>
  <c r="D265" i="2"/>
  <c r="E265" i="2" s="1"/>
  <c r="D269" i="2"/>
  <c r="E269" i="2" s="1"/>
  <c r="D267" i="2"/>
  <c r="E267" i="2" s="1"/>
  <c r="D268" i="2"/>
  <c r="E268" i="2" s="1"/>
  <c r="D262" i="2"/>
  <c r="E262" i="2" s="1"/>
  <c r="D261" i="2"/>
  <c r="E261" i="2" s="1"/>
  <c r="D263" i="2"/>
  <c r="E263" i="2" s="1"/>
  <c r="D251" i="2"/>
  <c r="E251" i="2" s="1"/>
  <c r="D257" i="2"/>
  <c r="E257" i="2" s="1"/>
  <c r="D255" i="2"/>
  <c r="E255" i="2" s="1"/>
  <c r="D252" i="2"/>
  <c r="E252" i="2" s="1"/>
  <c r="D256" i="2"/>
  <c r="E256" i="2" s="1"/>
  <c r="D253" i="2"/>
  <c r="E253" i="2" s="1"/>
  <c r="D250" i="2"/>
  <c r="E250" i="2" s="1"/>
  <c r="D254" i="2"/>
  <c r="E254" i="2" s="1"/>
  <c r="D249" i="2"/>
  <c r="E249" i="2" s="1"/>
  <c r="D248" i="2"/>
  <c r="E248" i="2" s="1"/>
  <c r="D246" i="2"/>
  <c r="E246" i="2" s="1"/>
  <c r="D247" i="2"/>
  <c r="E247" i="2" s="1"/>
  <c r="D244" i="2"/>
  <c r="E244" i="2" s="1"/>
  <c r="D243" i="2"/>
  <c r="E243" i="2" s="1"/>
  <c r="D240" i="2"/>
  <c r="E240" i="2" s="1"/>
  <c r="D242" i="2"/>
  <c r="E242" i="2" s="1"/>
  <c r="D245" i="2"/>
  <c r="E245" i="2" s="1"/>
  <c r="D241" i="2"/>
  <c r="E241" i="2" s="1"/>
  <c r="D237" i="2"/>
  <c r="E237" i="2" s="1"/>
  <c r="D231" i="2"/>
  <c r="E231" i="2" s="1"/>
  <c r="D236" i="2"/>
  <c r="E236" i="2" s="1"/>
  <c r="D239" i="2"/>
  <c r="E239" i="2" s="1"/>
  <c r="D230" i="2"/>
  <c r="E230" i="2" s="1"/>
  <c r="D234" i="2"/>
  <c r="E234" i="2" s="1"/>
  <c r="D238" i="2"/>
  <c r="E238" i="2" s="1"/>
  <c r="D233" i="2"/>
  <c r="E233" i="2" s="1"/>
  <c r="D229" i="2"/>
  <c r="E229" i="2" s="1"/>
  <c r="D9" i="2"/>
  <c r="E9" i="2" s="1"/>
  <c r="D225" i="2"/>
  <c r="E225" i="2" s="1"/>
  <c r="D222" i="2"/>
  <c r="E222" i="2" s="1"/>
  <c r="D224" i="2"/>
  <c r="E224" i="2" s="1"/>
  <c r="D220" i="2"/>
  <c r="E220" i="2" s="1"/>
  <c r="D219" i="2"/>
  <c r="E219" i="2" s="1"/>
  <c r="D227" i="2"/>
  <c r="E227" i="2" s="1"/>
  <c r="D226" i="2"/>
  <c r="E226" i="2" s="1"/>
  <c r="D223" i="2"/>
  <c r="E223" i="2" s="1"/>
  <c r="D218" i="2"/>
  <c r="E218" i="2" s="1"/>
  <c r="D221" i="2"/>
  <c r="E221" i="2" s="1"/>
  <c r="D228" i="2"/>
  <c r="E228" i="2" s="1"/>
  <c r="D209" i="2"/>
  <c r="E209" i="2" s="1"/>
  <c r="D212" i="2"/>
  <c r="E212" i="2" s="1"/>
  <c r="D211" i="2"/>
  <c r="E211" i="2" s="1"/>
  <c r="D213" i="2"/>
  <c r="E213" i="2" s="1"/>
  <c r="D215" i="2"/>
  <c r="E215" i="2" s="1"/>
  <c r="D217" i="2"/>
  <c r="E217" i="2" s="1"/>
  <c r="D210" i="2"/>
  <c r="E210" i="2" s="1"/>
  <c r="D216" i="2"/>
  <c r="E216" i="2" s="1"/>
  <c r="D204" i="2"/>
  <c r="E204" i="2" s="1"/>
  <c r="D203" i="2"/>
  <c r="E203" i="2" s="1"/>
  <c r="D201" i="2"/>
  <c r="E201" i="2" s="1"/>
  <c r="D205" i="2"/>
  <c r="E205" i="2" s="1"/>
  <c r="D199" i="2"/>
  <c r="E199" i="2" s="1"/>
  <c r="D202" i="2"/>
  <c r="E202" i="2" s="1"/>
  <c r="D207" i="2"/>
  <c r="E207" i="2" s="1"/>
  <c r="D208" i="2"/>
  <c r="E208" i="2" s="1"/>
  <c r="D200" i="2"/>
  <c r="E200" i="2" s="1"/>
  <c r="D206" i="2"/>
  <c r="E206" i="2" s="1"/>
  <c r="D196" i="2"/>
  <c r="E196" i="2" s="1"/>
  <c r="D193" i="2"/>
  <c r="E193" i="2" s="1"/>
  <c r="D187" i="2"/>
  <c r="E187" i="2" s="1"/>
  <c r="D194" i="2"/>
  <c r="E194" i="2" s="1"/>
  <c r="D192" i="2"/>
  <c r="E192" i="2" s="1"/>
  <c r="D195" i="2"/>
  <c r="E195" i="2" s="1"/>
  <c r="D188" i="2"/>
  <c r="E188" i="2" s="1"/>
  <c r="D190" i="2"/>
  <c r="E190" i="2" s="1"/>
  <c r="D189" i="2"/>
  <c r="E189" i="2" s="1"/>
  <c r="D191" i="2"/>
  <c r="E191" i="2" s="1"/>
  <c r="D197" i="2"/>
  <c r="E197" i="2" s="1"/>
  <c r="D149" i="2"/>
  <c r="E149" i="2" s="1"/>
  <c r="D312" i="2"/>
  <c r="E312" i="2" s="1"/>
  <c r="D311" i="2"/>
  <c r="E311" i="2" s="1"/>
  <c r="D306" i="2"/>
  <c r="E306" i="2" s="1"/>
  <c r="D309" i="2"/>
  <c r="E309" i="2" s="1"/>
  <c r="D308" i="2"/>
  <c r="E308" i="2" s="1"/>
  <c r="D305" i="2"/>
  <c r="E305" i="2" s="1"/>
  <c r="D145" i="2"/>
  <c r="E145" i="2" s="1"/>
  <c r="D185" i="2"/>
  <c r="E185" i="2" s="1"/>
  <c r="D176" i="2"/>
  <c r="E176" i="2" s="1"/>
  <c r="D177" i="2"/>
  <c r="E177" i="2" s="1"/>
  <c r="D180" i="2"/>
  <c r="E180" i="2" s="1"/>
  <c r="D186" i="2"/>
  <c r="E186" i="2" s="1"/>
  <c r="D183" i="2"/>
  <c r="E183" i="2" s="1"/>
  <c r="D179" i="2"/>
  <c r="E179" i="2" s="1"/>
  <c r="D178" i="2"/>
  <c r="E178" i="2" s="1"/>
  <c r="D184" i="2"/>
  <c r="E184" i="2" s="1"/>
  <c r="D128" i="2"/>
  <c r="E128" i="2" s="1"/>
  <c r="D175" i="2"/>
  <c r="E175" i="2" s="1"/>
  <c r="D182" i="2"/>
  <c r="E182" i="2" s="1"/>
  <c r="D181" i="2"/>
  <c r="E181" i="2" s="1"/>
  <c r="D168" i="2"/>
  <c r="E168" i="2" s="1"/>
  <c r="D165" i="2"/>
  <c r="E165" i="2" s="1"/>
  <c r="D173" i="2"/>
  <c r="E173" i="2" s="1"/>
  <c r="D172" i="2"/>
  <c r="E172" i="2" s="1"/>
  <c r="D170" i="2"/>
  <c r="E170" i="2" s="1"/>
  <c r="D167" i="2"/>
  <c r="E167" i="2" s="1"/>
  <c r="D171" i="2"/>
  <c r="E171" i="2" s="1"/>
  <c r="D174" i="2"/>
  <c r="E174" i="2" s="1"/>
  <c r="D166" i="2"/>
  <c r="E166" i="2" s="1"/>
  <c r="D169" i="2"/>
  <c r="E169" i="2" s="1"/>
  <c r="D158" i="2"/>
  <c r="E158" i="2" s="1"/>
  <c r="D160" i="2"/>
  <c r="E160" i="2" s="1"/>
  <c r="D159" i="2"/>
  <c r="E159" i="2" s="1"/>
  <c r="D161" i="2"/>
  <c r="E161" i="2" s="1"/>
  <c r="D164" i="2"/>
  <c r="E164" i="2" s="1"/>
  <c r="D163" i="2"/>
  <c r="E163" i="2" s="1"/>
  <c r="D157" i="2"/>
  <c r="E157" i="2" s="1"/>
  <c r="D162" i="2"/>
  <c r="E162" i="2" s="1"/>
  <c r="D139" i="2"/>
  <c r="E139" i="2" s="1"/>
  <c r="D146" i="2"/>
  <c r="E146" i="2" s="1"/>
  <c r="D147" i="2"/>
  <c r="E147" i="2" s="1"/>
  <c r="D141" i="2"/>
  <c r="E141" i="2" s="1"/>
  <c r="D140" i="2"/>
  <c r="E140" i="2" s="1"/>
  <c r="D142" i="2"/>
  <c r="E142" i="2" s="1"/>
  <c r="D144" i="2"/>
  <c r="E144" i="2" s="1"/>
  <c r="D143" i="2"/>
  <c r="E143" i="2" s="1"/>
  <c r="D138" i="2"/>
  <c r="E138" i="2" s="1"/>
  <c r="D214" i="2"/>
  <c r="E214" i="2" s="1"/>
  <c r="D132" i="2"/>
  <c r="E132" i="2" s="1"/>
  <c r="D127" i="2"/>
  <c r="E127" i="2" s="1"/>
  <c r="D72" i="2"/>
  <c r="E72" i="2" s="1"/>
  <c r="D133" i="2"/>
  <c r="E133" i="2" s="1"/>
  <c r="D135" i="2"/>
  <c r="E135" i="2" s="1"/>
  <c r="D129" i="2"/>
  <c r="E129" i="2" s="1"/>
  <c r="D126" i="2"/>
  <c r="E126" i="2" s="1"/>
  <c r="D11" i="2"/>
  <c r="E11" i="2" s="1"/>
  <c r="D63" i="2"/>
  <c r="E63" i="2" s="1"/>
  <c r="D20" i="2"/>
  <c r="E20" i="2" s="1"/>
  <c r="D61" i="2"/>
  <c r="E61" i="2" s="1"/>
  <c r="D65" i="2"/>
  <c r="E65" i="2" s="1"/>
  <c r="D66" i="2"/>
  <c r="E66" i="2" s="1"/>
  <c r="D122" i="2"/>
  <c r="E122" i="2" s="1"/>
  <c r="D118" i="2"/>
  <c r="E118" i="2" s="1"/>
  <c r="D125" i="2"/>
  <c r="E125" i="2" s="1"/>
  <c r="D119" i="2"/>
  <c r="E119" i="2" s="1"/>
  <c r="D121" i="2"/>
  <c r="E121" i="2" s="1"/>
  <c r="D114" i="2"/>
  <c r="E114" i="2" s="1"/>
  <c r="D116" i="2"/>
  <c r="E116" i="2" s="1"/>
  <c r="D115" i="2"/>
  <c r="E115" i="2" s="1"/>
  <c r="D124" i="2"/>
  <c r="E124" i="2" s="1"/>
  <c r="D123" i="2"/>
  <c r="E123" i="2" s="1"/>
  <c r="D108" i="2"/>
  <c r="E108" i="2" s="1"/>
  <c r="D112" i="2"/>
  <c r="E112" i="2" s="1"/>
  <c r="D109" i="2"/>
  <c r="E109" i="2" s="1"/>
  <c r="D107" i="2"/>
  <c r="E107" i="2" s="1"/>
  <c r="D106" i="2"/>
  <c r="E106" i="2" s="1"/>
  <c r="D337" i="2"/>
  <c r="E337" i="2" s="1"/>
  <c r="D105" i="2"/>
  <c r="E105" i="2" s="1"/>
  <c r="D342" i="2"/>
  <c r="E342" i="2" s="1"/>
  <c r="D111" i="2"/>
  <c r="E111" i="2" s="1"/>
  <c r="D113" i="2"/>
  <c r="E113" i="2" s="1"/>
  <c r="D102" i="2"/>
  <c r="E102" i="2" s="1"/>
  <c r="D100" i="2"/>
  <c r="E100" i="2" s="1"/>
  <c r="D101" i="2"/>
  <c r="E101" i="2" s="1"/>
  <c r="D96" i="2"/>
  <c r="E96" i="2" s="1"/>
  <c r="D99" i="2"/>
  <c r="E99" i="2" s="1"/>
  <c r="D95" i="2"/>
  <c r="E95" i="2" s="1"/>
  <c r="D98" i="2"/>
  <c r="E98" i="2" s="1"/>
  <c r="D97" i="2"/>
  <c r="E97" i="2" s="1"/>
  <c r="D103" i="2"/>
  <c r="E103" i="2" s="1"/>
  <c r="D94" i="2"/>
  <c r="E94" i="2" s="1"/>
  <c r="D104" i="2"/>
  <c r="E104" i="2" s="1"/>
  <c r="D88" i="2"/>
  <c r="E88" i="2" s="1"/>
  <c r="D87" i="2"/>
  <c r="E87" i="2" s="1"/>
  <c r="D90" i="2"/>
  <c r="E90" i="2" s="1"/>
  <c r="D91" i="2"/>
  <c r="E91" i="2" s="1"/>
  <c r="D274" i="2"/>
  <c r="E274" i="2" s="1"/>
  <c r="D89" i="2"/>
  <c r="E89" i="2" s="1"/>
  <c r="D86" i="2"/>
  <c r="E86" i="2" s="1"/>
  <c r="D93" i="2"/>
  <c r="E93" i="2" s="1"/>
  <c r="D83" i="2"/>
  <c r="E83" i="2" s="1"/>
  <c r="D80" i="2"/>
  <c r="E80" i="2" s="1"/>
  <c r="D84" i="2"/>
  <c r="E84" i="2" s="1"/>
  <c r="D81" i="2"/>
  <c r="E81" i="2" s="1"/>
  <c r="D79" i="2"/>
  <c r="E79" i="2" s="1"/>
  <c r="D78" i="2"/>
  <c r="E78" i="2" s="1"/>
  <c r="D77" i="2"/>
  <c r="E77" i="2" s="1"/>
  <c r="D85" i="2"/>
  <c r="E85" i="2" s="1"/>
  <c r="D70" i="2"/>
  <c r="E70" i="2" s="1"/>
  <c r="D76" i="2"/>
  <c r="E76" i="2" s="1"/>
  <c r="D64" i="2"/>
  <c r="E64" i="2" s="1"/>
  <c r="D67" i="2"/>
  <c r="E67" i="2" s="1"/>
  <c r="D71" i="2"/>
  <c r="E71" i="2" s="1"/>
  <c r="D68" i="2"/>
  <c r="E68" i="2" s="1"/>
  <c r="D74" i="2"/>
  <c r="E74" i="2" s="1"/>
  <c r="D35" i="2"/>
  <c r="E35" i="2" s="1"/>
  <c r="D31" i="2"/>
  <c r="E31" i="2" s="1"/>
  <c r="D73" i="2"/>
  <c r="E73" i="2" s="1"/>
  <c r="D75" i="2"/>
  <c r="E75" i="2" s="1"/>
  <c r="D69" i="2"/>
  <c r="E69" i="2" s="1"/>
  <c r="D62" i="2"/>
  <c r="E62" i="2" s="1"/>
  <c r="D25" i="2"/>
  <c r="E25" i="2" s="1"/>
  <c r="D55" i="2"/>
  <c r="E55" i="2" s="1"/>
  <c r="D53" i="2"/>
  <c r="E53" i="2" s="1"/>
  <c r="D49" i="2"/>
  <c r="E49" i="2" s="1"/>
  <c r="D51" i="2"/>
  <c r="E51" i="2" s="1"/>
  <c r="D58" i="2"/>
  <c r="E58" i="2" s="1"/>
  <c r="D60" i="2"/>
  <c r="E60" i="2" s="1"/>
  <c r="D50" i="2"/>
  <c r="E50" i="2" s="1"/>
  <c r="D54" i="2"/>
  <c r="E54" i="2" s="1"/>
  <c r="D57" i="2"/>
  <c r="E57" i="2" s="1"/>
  <c r="D56" i="2"/>
  <c r="E56" i="2" s="1"/>
  <c r="D59" i="2"/>
  <c r="E59" i="2" s="1"/>
  <c r="D52" i="2"/>
  <c r="E52" i="2" s="1"/>
  <c r="D316" i="2"/>
  <c r="E316" i="2" s="1"/>
  <c r="D47" i="2"/>
  <c r="E47" i="2" s="1"/>
  <c r="D42" i="2"/>
  <c r="E42" i="2" s="1"/>
  <c r="D136" i="2"/>
  <c r="E136" i="2" s="1"/>
  <c r="D45" i="2"/>
  <c r="E45" i="2" s="1"/>
  <c r="D324" i="2"/>
  <c r="E324" i="2" s="1"/>
  <c r="D38" i="2"/>
  <c r="E38" i="2" s="1"/>
  <c r="D41" i="2"/>
  <c r="E41" i="2" s="1"/>
  <c r="D117" i="2"/>
  <c r="E117" i="2" s="1"/>
  <c r="D235" i="2"/>
  <c r="E235" i="2" s="1"/>
  <c r="D232" i="2"/>
  <c r="E232" i="2" s="1"/>
  <c r="D37" i="2"/>
  <c r="E37" i="2" s="1"/>
  <c r="D13" i="2"/>
  <c r="E13" i="2" s="1"/>
  <c r="D15" i="2"/>
  <c r="E15" i="2" s="1"/>
  <c r="D16" i="2"/>
  <c r="E16" i="2" s="1"/>
  <c r="D18" i="2"/>
  <c r="E18" i="2" s="1"/>
  <c r="D12" i="2"/>
  <c r="E12" i="2" s="1"/>
  <c r="D24" i="2"/>
  <c r="E24" i="2" s="1"/>
  <c r="D21" i="2"/>
  <c r="E21" i="2" s="1"/>
  <c r="D14" i="2"/>
  <c r="E14" i="2" s="1"/>
  <c r="D23" i="2"/>
  <c r="E23" i="2" s="1"/>
  <c r="D22" i="2"/>
  <c r="E22" i="2" s="1"/>
  <c r="D17" i="2"/>
  <c r="E17" i="2" s="1"/>
  <c r="D19" i="2"/>
  <c r="E19" i="2" s="1"/>
  <c r="D28" i="2"/>
  <c r="E28" i="2" s="1"/>
  <c r="D26" i="2"/>
  <c r="E26" i="2" s="1"/>
  <c r="D33" i="2"/>
  <c r="E33" i="2" s="1"/>
  <c r="D34" i="2"/>
  <c r="E34" i="2" s="1"/>
  <c r="D29" i="2"/>
  <c r="E29" i="2" s="1"/>
  <c r="D32" i="2"/>
  <c r="E32" i="2" s="1"/>
  <c r="D27" i="2"/>
  <c r="E27" i="2" s="1"/>
  <c r="D30" i="2"/>
  <c r="E30" i="2" s="1"/>
  <c r="D36" i="2"/>
  <c r="E36" i="2" s="1"/>
  <c r="D7" i="2"/>
  <c r="E7" i="2" s="1"/>
  <c r="D2" i="2"/>
  <c r="E2" i="2" s="1"/>
  <c r="D8" i="2"/>
  <c r="E8" i="2" s="1"/>
  <c r="D120" i="2"/>
  <c r="E120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29" i="6"/>
  <c r="B28" i="6"/>
  <c r="B27" i="6"/>
  <c r="B26" i="6"/>
  <c r="B25" i="6"/>
  <c r="B24" i="6"/>
  <c r="B23" i="6"/>
  <c r="B22" i="6"/>
  <c r="B21" i="6"/>
  <c r="B20" i="6"/>
  <c r="B19" i="6"/>
  <c r="B30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<sst xmlns="http://schemas.openxmlformats.org/spreadsheetml/2006/main" count="1076" uniqueCount="441">
  <si>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</si>
  <si>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</si>
  <si>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</si>
  <si>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</si>
  <si>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</si>
  <si>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</si>
  <si>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</si>
  <si>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</si>
  <si>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</si>
  <si>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</si>
  <si>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</si>
  <si>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</si>
  <si>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</si>
  <si>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</si>
  <si>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</si>
  <si>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</si>
  <si>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</si>
  <si>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</si>
  <si>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</si>
  <si>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</si>
  <si>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</si>
  <si>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</si>
  <si>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</si>
  <si>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</si>
  <si>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</si>
  <si>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</si>
  <si>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</si>
  <si>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</si>
  <si>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</si>
  <si>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</si>
  <si>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</si>
  <si>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</si>
  <si>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</si>
  <si>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</si>
  <si>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</si>
  <si>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</si>
  <si>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</si>
  <si>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</si>
  <si>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</si>
  <si>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</si>
  <si>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</si>
  <si>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</si>
  <si>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</si>
  <si>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</si>
  <si>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</si>
  <si>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</si>
  <si>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</si>
  <si>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</si>
  <si>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</si>
  <si>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</si>
  <si>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</si>
  <si>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</si>
  <si>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</si>
  <si>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</si>
  <si>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</si>
  <si>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</si>
  <si>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</si>
  <si>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</si>
  <si>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</si>
  <si>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</si>
  <si>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</si>
  <si>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</si>
  <si>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</si>
  <si>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</si>
  <si>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</si>
  <si>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</si>
  <si>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</si>
  <si>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</si>
  <si>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</si>
  <si>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</si>
  <si>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</si>
  <si>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</si>
  <si>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</si>
  <si>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</si>
  <si>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</si>
  <si>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</si>
  <si>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</si>
  <si>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</si>
  <si>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</si>
  <si>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</si>
  <si>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</si>
  <si>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</si>
  <si>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</si>
  <si>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</si>
  <si>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</si>
  <si>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</si>
  <si>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</si>
  <si>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</si>
  <si>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</si>
  <si>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</si>
  <si>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</si>
  <si>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</si>
  <si>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</si>
  <si>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</si>
  <si>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</si>
  <si>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</si>
  <si>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</si>
  <si>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</si>
  <si>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</si>
  <si>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</si>
  <si>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</si>
  <si>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</si>
  <si>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</si>
  <si>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</si>
  <si>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</si>
  <si>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</si>
  <si>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</si>
  <si>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</si>
  <si>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</si>
  <si>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</si>
  <si>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</si>
  <si>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</si>
  <si>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</si>
  <si>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</si>
  <si>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</si>
  <si>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</si>
  <si>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</si>
  <si>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</si>
  <si>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</si>
  <si>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</si>
  <si>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</si>
  <si>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</si>
  <si>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</si>
  <si>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</si>
  <si>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</si>
  <si>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</si>
  <si>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</si>
  <si>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</si>
  <si>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</si>
  <si>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</si>
  <si>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</si>
  <si>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</si>
  <si>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</si>
  <si>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</si>
  <si>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</si>
  <si>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</si>
  <si>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</si>
  <si>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</si>
  <si>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</si>
  <si>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</si>
  <si>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</si>
  <si>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</si>
  <si>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</si>
  <si>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</si>
  <si>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</si>
  <si>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</si>
  <si>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</si>
  <si>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</si>
  <si>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</si>
  <si>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</si>
  <si>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</si>
  <si>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</si>
  <si>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</si>
  <si>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</si>
  <si>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</si>
  <si>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</si>
  <si>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</si>
  <si>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</si>
  <si>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</si>
  <si>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</si>
  <si>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</si>
  <si>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</si>
  <si>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</si>
  <si>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</si>
  <si>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</si>
  <si>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</si>
  <si>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</si>
  <si>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</si>
  <si>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</si>
  <si>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</si>
  <si>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</si>
  <si>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</si>
  <si>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</si>
  <si>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</si>
  <si>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</si>
  <si>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</si>
  <si>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</si>
  <si>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</si>
  <si>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</si>
  <si>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</si>
  <si>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</si>
  <si>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</si>
  <si>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</si>
  <si>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</si>
  <si>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</si>
  <si>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</si>
  <si>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</si>
  <si>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</si>
  <si>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</si>
  <si>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</si>
  <si>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</si>
  <si>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</si>
  <si>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</si>
  <si>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</si>
  <si>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</si>
  <si>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</si>
  <si>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</si>
  <si>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</si>
  <si>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</si>
  <si>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</si>
  <si>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</si>
  <si>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</si>
  <si>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</si>
  <si>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</si>
  <si>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</si>
  <si>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</si>
  <si>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</si>
  <si>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</si>
  <si>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</si>
  <si>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</si>
  <si>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</si>
  <si>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</si>
  <si>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</si>
  <si>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</si>
  <si>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</si>
  <si>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</si>
  <si>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</si>
  <si>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</si>
  <si>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</si>
  <si>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</si>
  <si>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</si>
  <si>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</si>
  <si>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</si>
  <si>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</si>
  <si>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</si>
  <si>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</si>
  <si>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</si>
  <si>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</si>
  <si>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</si>
  <si>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</si>
  <si>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</si>
  <si>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</si>
  <si>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</si>
  <si>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</si>
  <si>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</si>
  <si>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</si>
  <si>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</si>
  <si>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</si>
  <si>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</si>
  <si>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</si>
  <si>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</si>
  <si>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</si>
  <si>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</si>
  <si>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</si>
  <si>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</si>
  <si>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</si>
  <si>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</si>
  <si>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</si>
  <si>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</si>
  <si>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</si>
  <si>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</si>
  <si>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</si>
  <si>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</si>
  <si>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</si>
  <si>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</si>
  <si>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</si>
  <si>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</si>
  <si>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</si>
  <si>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</si>
  <si>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</si>
  <si>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</si>
  <si>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</si>
  <si>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</si>
  <si>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</si>
  <si>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</si>
  <si>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</si>
  <si>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</si>
  <si>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</si>
  <si>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</si>
  <si>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</si>
  <si>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</si>
  <si>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</si>
  <si>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</si>
  <si>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</si>
  <si>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</si>
  <si>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</si>
  <si>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</si>
  <si>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</si>
  <si>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</si>
  <si>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</si>
  <si>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</si>
  <si>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</si>
  <si>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</si>
  <si>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</si>
  <si>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</si>
  <si>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</si>
  <si>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</si>
  <si>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</si>
  <si>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</si>
  <si>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</si>
  <si>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</si>
  <si>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</si>
  <si>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</si>
  <si>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</si>
  <si>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</si>
  <si>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</si>
  <si>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</si>
  <si>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</si>
  <si>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</si>
  <si>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</si>
  <si>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</si>
  <si>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</si>
  <si>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</si>
  <si>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</si>
  <si>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</si>
  <si>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</si>
  <si>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</si>
  <si>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</si>
  <si>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</si>
  <si>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</si>
  <si>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</si>
  <si>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</si>
  <si>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</si>
  <si>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</si>
  <si>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</si>
  <si>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</si>
  <si>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</si>
  <si>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</si>
  <si>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</si>
  <si>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</si>
  <si>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</si>
  <si>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</si>
  <si>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</si>
  <si>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</si>
  <si>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</si>
  <si>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</si>
  <si>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</si>
  <si>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</si>
  <si>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</si>
  <si>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</si>
  <si>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</si>
  <si>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</si>
  <si>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</si>
  <si>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</si>
  <si>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</si>
  <si>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</si>
  <si>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</si>
  <si>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</si>
  <si>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</si>
  <si>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</si>
  <si>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</si>
  <si>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</si>
  <si>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</si>
  <si>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</si>
  <si>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</si>
  <si>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</si>
  <si>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</si>
  <si>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</si>
  <si>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</si>
  <si>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</si>
  <si>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</si>
  <si>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</si>
  <si>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</si>
  <si>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</si>
  <si>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</si>
  <si>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</si>
  <si>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</si>
  <si>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</si>
  <si>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</si>
  <si>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</si>
  <si>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</si>
  <si>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</si>
  <si>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</si>
  <si>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</si>
  <si>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</si>
  <si>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</si>
  <si>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</si>
  <si>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</si>
  <si>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</si>
  <si>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</si>
  <si>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</si>
  <si>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</si>
  <si>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</si>
  <si>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</si>
  <si>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</si>
  <si>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</si>
  <si>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</si>
  <si>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</si>
  <si>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</si>
  <si>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</si>
  <si>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</si>
  <si>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</si>
  <si>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</si>
  <si>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</si>
  <si>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</si>
  <si>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</si>
  <si>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</si>
  <si>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</si>
  <si>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</si>
  <si>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</si>
  <si>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</si>
  <si>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</si>
  <si>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</si>
  <si>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</si>
  <si>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</si>
  <si>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</si>
  <si>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</si>
  <si>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</si>
  <si>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</si>
  <si>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</si>
  <si>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</si>
  <si>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</si>
  <si>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</si>
  <si>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</si>
  <si>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</si>
  <si>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</si>
  <si>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</si>
  <si>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</si>
  <si>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</si>
  <si>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</si>
  <si>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</si>
  <si>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</si>
  <si>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</si>
  <si>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</si>
  <si>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</si>
  <si>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</si>
  <si>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</si>
  <si>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</si>
  <si>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</si>
  <si>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</si>
  <si>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</si>
  <si>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</si>
  <si>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</si>
  <si>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</si>
  <si>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</si>
  <si>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</si>
  <si>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</si>
  <si>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</si>
  <si>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</si>
  <si>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</si>
  <si>
    <t>Kennesaw State Owls</t>
  </si>
  <si>
    <t>North Florida Ospreys</t>
  </si>
  <si>
    <t>NJIT Highlanders</t>
  </si>
  <si>
    <t>Winston-Salem State Rams</t>
  </si>
  <si>
    <t>Central Arkansas Bears</t>
  </si>
  <si>
    <t>Cal State Bakersfield Roadrunners</t>
  </si>
  <si>
    <t>North Carolina Central Eagles</t>
  </si>
  <si>
    <t>Florida Gulf Coast Eagles</t>
  </si>
  <si>
    <t>USC Upstate Spartans</t>
  </si>
  <si>
    <t>Presbyterian Blue Hose</t>
  </si>
  <si>
    <t>Summit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</si>
</sst>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42" totalsRowShown="0" dataDxfId="16">
  <autoFilter ref="A1:F342" xr:uid="{9B6505AB-A5DD-4D95-AC4E-61525CC9AAB8}"/>
  <sortState xmlns:xlrd2="http://schemas.microsoft.com/office/spreadsheetml/2017/richdata2" ref="A2:F342">
    <sortCondition ref="C1:C342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42"/>
  <sheetViews>
    <sheetView tabSelected="1" topLeftCell="A336" workbookViewId="0">
      <selection activeCell="B343" sqref="B343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213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209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206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208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210</v>
      </c>
      <c r="B6" s="1" t="s">
        <v>416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214</v>
      </c>
      <c r="B7" s="1" t="s">
        <v>413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160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344</v>
      </c>
      <c r="B9" s="1" t="s">
        <v>170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207</v>
      </c>
      <c r="B10" s="1" t="s">
        <v>419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279</v>
      </c>
      <c r="B11" s="1" t="s">
        <v>169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221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225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218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411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223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216</v>
      </c>
      <c r="B17" s="1" t="s">
        <v>412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222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215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277</v>
      </c>
      <c r="B20" s="1" t="s">
        <v>171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219</v>
      </c>
      <c r="B21" s="1" t="s">
        <v>160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57</v>
      </c>
      <c r="B22" s="1" t="s">
        <v>161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217</v>
      </c>
      <c r="B23" s="1" t="s">
        <v>166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220</v>
      </c>
      <c r="B24" s="1" t="s">
        <v>162</v>
      </c>
      <c r="C24" s="1" t="s">
        <v>188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51</v>
      </c>
      <c r="B25" s="1" t="s">
        <v>166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34</v>
      </c>
      <c r="B26" s="1" t="s">
        <v>168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38</v>
      </c>
      <c r="B27" s="1" t="s">
        <v>169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29</v>
      </c>
      <c r="B28" s="1" t="s">
        <v>147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33</v>
      </c>
      <c r="B29" s="1" t="s">
        <v>151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36</v>
      </c>
      <c r="B30" s="1" t="s">
        <v>170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30</v>
      </c>
      <c r="B31" s="1" t="s">
        <v>147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35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32</v>
      </c>
      <c r="B33" s="1" t="s">
        <v>169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31</v>
      </c>
      <c r="B34" s="1" t="s">
        <v>176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28</v>
      </c>
      <c r="B35" s="1" t="s">
        <v>176</v>
      </c>
      <c r="C35" s="1" t="s">
        <v>16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37</v>
      </c>
      <c r="B36" s="1" t="s">
        <v>169</v>
      </c>
      <c r="C36" s="1" t="s">
        <v>16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226</v>
      </c>
      <c r="B37" s="1" t="s">
        <v>159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231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361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437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230</v>
      </c>
      <c r="B41" s="1" t="s">
        <v>169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233</v>
      </c>
      <c r="B42" s="1" t="s">
        <v>147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430</v>
      </c>
      <c r="B43" s="1" t="s">
        <v>151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409</v>
      </c>
      <c r="B44" s="1" t="s">
        <v>159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232</v>
      </c>
      <c r="B45" s="1" t="s">
        <v>151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431</v>
      </c>
      <c r="B46" s="1" t="s">
        <v>147</v>
      </c>
      <c r="C46" s="1" t="s">
        <v>189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234</v>
      </c>
      <c r="B47" s="1" t="s">
        <v>147</v>
      </c>
      <c r="C47" s="1" t="s">
        <v>189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438</v>
      </c>
      <c r="B48" s="1" t="s">
        <v>144</v>
      </c>
      <c r="C48" s="1" t="s">
        <v>189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50</v>
      </c>
      <c r="B49" s="1" t="s">
        <v>148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39</v>
      </c>
      <c r="B50" s="1" t="s">
        <v>145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40</v>
      </c>
      <c r="B51" s="1" t="s">
        <v>155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43</v>
      </c>
      <c r="B52" s="1" t="s">
        <v>156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44</v>
      </c>
      <c r="B53" s="1" t="s">
        <v>156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42</v>
      </c>
      <c r="B54" s="1" t="s">
        <v>171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41</v>
      </c>
      <c r="B55" s="1" t="s">
        <v>172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45</v>
      </c>
      <c r="B56" s="1" t="s">
        <v>174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49</v>
      </c>
      <c r="B57" s="1" t="s">
        <v>174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47</v>
      </c>
      <c r="B58" s="1" t="s">
        <v>148</v>
      </c>
      <c r="C58" s="1" t="s">
        <v>17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46</v>
      </c>
      <c r="B59" s="1" t="s">
        <v>148</v>
      </c>
      <c r="C59" s="1" t="s">
        <v>17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48</v>
      </c>
      <c r="B60" s="1" t="s">
        <v>148</v>
      </c>
      <c r="C60" s="1" t="s">
        <v>17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71</v>
      </c>
      <c r="B61" s="1" t="s">
        <v>162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55</v>
      </c>
      <c r="B62" s="1" t="s">
        <v>146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278</v>
      </c>
      <c r="B63" s="1" t="s">
        <v>149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240</v>
      </c>
      <c r="B64" s="1" t="s">
        <v>411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68</v>
      </c>
      <c r="B65" s="1" t="s">
        <v>157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276</v>
      </c>
      <c r="B66" s="1" t="s">
        <v>178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142</v>
      </c>
      <c r="B67" s="1" t="s">
        <v>154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52</v>
      </c>
      <c r="B68" s="1" t="s">
        <v>161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236</v>
      </c>
      <c r="B69" s="1" t="s">
        <v>412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56</v>
      </c>
      <c r="B70" s="1" t="s">
        <v>184</v>
      </c>
      <c r="C70" s="1" t="s">
        <v>18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239</v>
      </c>
      <c r="B71" s="1" t="s">
        <v>184</v>
      </c>
      <c r="C71" s="1" t="s">
        <v>18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75</v>
      </c>
      <c r="B72" s="1" t="s">
        <v>147</v>
      </c>
      <c r="C72" s="1" t="s">
        <v>18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238</v>
      </c>
      <c r="B73" s="1" t="s">
        <v>160</v>
      </c>
      <c r="C73" s="1" t="s">
        <v>18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54</v>
      </c>
      <c r="B74" s="1" t="s">
        <v>160</v>
      </c>
      <c r="C74" s="1" t="s">
        <v>18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237</v>
      </c>
      <c r="B75" s="1" t="s">
        <v>161</v>
      </c>
      <c r="C75" s="1" t="s">
        <v>18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53</v>
      </c>
      <c r="B76" s="1" t="s">
        <v>180</v>
      </c>
      <c r="C76" s="1" t="s">
        <v>18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242</v>
      </c>
      <c r="B77" s="1" t="s">
        <v>177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243</v>
      </c>
      <c r="B78" s="1" t="s">
        <v>153</v>
      </c>
      <c r="C78" s="1" t="s">
        <v>190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244</v>
      </c>
      <c r="B79" s="1" t="s">
        <v>417</v>
      </c>
      <c r="C79" s="1" t="s">
        <v>190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247</v>
      </c>
      <c r="B80" s="1" t="s">
        <v>417</v>
      </c>
      <c r="C80" s="1" t="s">
        <v>190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245</v>
      </c>
      <c r="B81" s="1" t="s">
        <v>164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426</v>
      </c>
      <c r="B82" s="1" t="s">
        <v>145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248</v>
      </c>
      <c r="B83" s="1" t="s">
        <v>175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246</v>
      </c>
      <c r="B84" s="1" t="s">
        <v>144</v>
      </c>
      <c r="C84" s="1" t="s">
        <v>190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241</v>
      </c>
      <c r="B85" s="1" t="s">
        <v>150</v>
      </c>
      <c r="C85" s="1" t="s">
        <v>190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250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255</v>
      </c>
      <c r="B87" s="1" t="s">
        <v>168</v>
      </c>
      <c r="C87" s="1" t="s">
        <v>191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256</v>
      </c>
      <c r="B88" s="1" t="s">
        <v>169</v>
      </c>
      <c r="C88" s="1" t="s">
        <v>191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251</v>
      </c>
      <c r="B89" s="1" t="s">
        <v>176</v>
      </c>
      <c r="C89" s="1" t="s">
        <v>191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254</v>
      </c>
      <c r="B90" s="1" t="s">
        <v>176</v>
      </c>
      <c r="C90" s="1" t="s">
        <v>191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253</v>
      </c>
      <c r="B91" s="1" t="s">
        <v>169</v>
      </c>
      <c r="C91" s="1" t="s">
        <v>191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364</v>
      </c>
      <c r="B92" s="1" t="s">
        <v>176</v>
      </c>
      <c r="C92" s="1" t="s">
        <v>191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249</v>
      </c>
      <c r="B93" s="1" t="s">
        <v>168</v>
      </c>
      <c r="C93" s="1" t="s">
        <v>191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66</v>
      </c>
      <c r="B94" s="1" t="s">
        <v>149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67</v>
      </c>
      <c r="B95" s="1" t="s">
        <v>154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59</v>
      </c>
      <c r="B96" s="1" t="s">
        <v>155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63</v>
      </c>
      <c r="B97" s="1" t="s">
        <v>167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58</v>
      </c>
      <c r="B98" s="1" t="s">
        <v>167</v>
      </c>
      <c r="C98" s="1" t="s">
        <v>19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64</v>
      </c>
      <c r="B99" s="1" t="s">
        <v>181</v>
      </c>
      <c r="C99" s="1" t="s">
        <v>19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257</v>
      </c>
      <c r="B100" s="1" t="s">
        <v>149</v>
      </c>
      <c r="C100" s="1" t="s">
        <v>19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61</v>
      </c>
      <c r="B101" s="1" t="s">
        <v>162</v>
      </c>
      <c r="C101" s="1" t="s">
        <v>19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65</v>
      </c>
      <c r="B102" s="1" t="s">
        <v>161</v>
      </c>
      <c r="C102" s="1" t="s">
        <v>19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62</v>
      </c>
      <c r="B103" s="1" t="s">
        <v>154</v>
      </c>
      <c r="C103" s="1" t="s">
        <v>19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60</v>
      </c>
      <c r="B104" s="1" t="s">
        <v>178</v>
      </c>
      <c r="C104" s="1" t="s">
        <v>19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260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261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262</v>
      </c>
      <c r="B107" s="1" t="s">
        <v>144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265</v>
      </c>
      <c r="B108" s="1" t="s">
        <v>144</v>
      </c>
      <c r="C108" s="1" t="s">
        <v>192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263</v>
      </c>
      <c r="B109" s="1" t="s">
        <v>144</v>
      </c>
      <c r="C109" s="1" t="s">
        <v>192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423</v>
      </c>
      <c r="B110" s="1" t="s">
        <v>144</v>
      </c>
      <c r="C110" s="1" t="s">
        <v>192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259</v>
      </c>
      <c r="B111" s="1" t="s">
        <v>144</v>
      </c>
      <c r="C111" s="1" t="s">
        <v>192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264</v>
      </c>
      <c r="B112" s="1" t="s">
        <v>144</v>
      </c>
      <c r="C112" s="1" t="s">
        <v>192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258</v>
      </c>
      <c r="B113" s="1" t="s">
        <v>144</v>
      </c>
      <c r="C113" s="1" t="s">
        <v>192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270</v>
      </c>
      <c r="B114" s="1" t="s">
        <v>414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268</v>
      </c>
      <c r="B115" s="1" t="s">
        <v>161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269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229</v>
      </c>
      <c r="B117" s="1" t="s">
        <v>151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274</v>
      </c>
      <c r="B118" s="1" t="s">
        <v>160</v>
      </c>
      <c r="C118" s="1" t="s">
        <v>193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272</v>
      </c>
      <c r="B119" s="1" t="s">
        <v>176</v>
      </c>
      <c r="C119" s="1" t="s">
        <v>193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211</v>
      </c>
      <c r="B120" s="1" t="s">
        <v>166</v>
      </c>
      <c r="C120" s="1" t="s">
        <v>193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271</v>
      </c>
      <c r="B121" s="1" t="s">
        <v>176</v>
      </c>
      <c r="C121" s="1" t="s">
        <v>193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275</v>
      </c>
      <c r="B122" s="1" t="s">
        <v>170</v>
      </c>
      <c r="C122" s="1" t="s">
        <v>193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266</v>
      </c>
      <c r="B123" s="1" t="s">
        <v>169</v>
      </c>
      <c r="C123" s="1" t="s">
        <v>193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267</v>
      </c>
      <c r="B124" s="1" t="s">
        <v>176</v>
      </c>
      <c r="C124" s="1" t="s">
        <v>193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273</v>
      </c>
      <c r="B125" s="1" t="s">
        <v>176</v>
      </c>
      <c r="C125" s="1" t="s">
        <v>193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77</v>
      </c>
      <c r="B126" s="1" t="s">
        <v>169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76</v>
      </c>
      <c r="B127" s="1" t="s">
        <v>148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81</v>
      </c>
      <c r="B128" s="1" t="s">
        <v>180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69</v>
      </c>
      <c r="B129" s="1" t="s">
        <v>159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139</v>
      </c>
      <c r="B130" s="1" t="s">
        <v>148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138</v>
      </c>
      <c r="B131" s="1" t="s">
        <v>148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70</v>
      </c>
      <c r="B132" s="1" t="s">
        <v>182</v>
      </c>
      <c r="C132" s="1" t="s">
        <v>20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74</v>
      </c>
      <c r="B133" s="1" t="s">
        <v>158</v>
      </c>
      <c r="C133" s="1" t="s">
        <v>20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137</v>
      </c>
      <c r="B134" s="1" t="s">
        <v>174</v>
      </c>
      <c r="C134" s="1" t="s">
        <v>20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72</v>
      </c>
      <c r="B135" s="1" t="s">
        <v>163</v>
      </c>
      <c r="C135" s="1" t="s">
        <v>20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85</v>
      </c>
      <c r="B136" s="1" t="s">
        <v>147</v>
      </c>
      <c r="C136" s="1" t="s">
        <v>20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133</v>
      </c>
      <c r="B137" s="1" t="s">
        <v>148</v>
      </c>
      <c r="C137" s="1" t="s">
        <v>20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280</v>
      </c>
      <c r="B138" s="1" t="s">
        <v>154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288</v>
      </c>
      <c r="B139" s="1" t="s">
        <v>162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284</v>
      </c>
      <c r="B140" s="1" t="s">
        <v>167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285</v>
      </c>
      <c r="B141" s="1" t="s">
        <v>178</v>
      </c>
      <c r="C141" s="1" t="s">
        <v>194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283</v>
      </c>
      <c r="B142" s="1" t="s">
        <v>149</v>
      </c>
      <c r="C142" s="1" t="s">
        <v>194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281</v>
      </c>
      <c r="B143" s="1" t="s">
        <v>178</v>
      </c>
      <c r="C143" s="1" t="s">
        <v>194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282</v>
      </c>
      <c r="B144" s="1" t="s">
        <v>149</v>
      </c>
      <c r="C144" s="1" t="s">
        <v>194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307</v>
      </c>
      <c r="B145" s="1" t="s">
        <v>154</v>
      </c>
      <c r="C145" s="1" t="s">
        <v>194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287</v>
      </c>
      <c r="B146" s="1" t="s">
        <v>162</v>
      </c>
      <c r="C146" s="1" t="s">
        <v>194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286</v>
      </c>
      <c r="B147" s="1" t="s">
        <v>162</v>
      </c>
      <c r="C147" s="1" t="s">
        <v>194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435</v>
      </c>
      <c r="B148" s="1" t="s">
        <v>144</v>
      </c>
      <c r="C148" s="1" t="s">
        <v>27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313</v>
      </c>
      <c r="B149" s="1" t="s">
        <v>149</v>
      </c>
      <c r="C149" s="1" t="s">
        <v>27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424</v>
      </c>
      <c r="B150" s="1" t="s">
        <v>176</v>
      </c>
      <c r="C150" s="1" t="s">
        <v>27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432</v>
      </c>
      <c r="B151" s="1" t="s">
        <v>184</v>
      </c>
      <c r="C151" s="1" t="s">
        <v>27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436</v>
      </c>
      <c r="B152" s="1" t="s">
        <v>169</v>
      </c>
      <c r="C152" s="1" t="s">
        <v>27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439</v>
      </c>
      <c r="B153" s="1" t="s">
        <v>168</v>
      </c>
      <c r="C153" s="1" t="s">
        <v>27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410</v>
      </c>
      <c r="B154" s="1" t="s">
        <v>151</v>
      </c>
      <c r="C154" s="1" t="s">
        <v>27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422</v>
      </c>
      <c r="B155" s="1" t="s">
        <v>150</v>
      </c>
      <c r="C155" s="1" t="s">
        <v>27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407</v>
      </c>
      <c r="B156" s="1" t="s">
        <v>148</v>
      </c>
      <c r="C156" s="1" t="s">
        <v>27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290</v>
      </c>
      <c r="B157" s="1" t="s">
        <v>412</v>
      </c>
      <c r="C157" s="1" t="s">
        <v>195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296</v>
      </c>
      <c r="B158" s="1" t="s">
        <v>160</v>
      </c>
      <c r="C158" s="1" t="s">
        <v>195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294</v>
      </c>
      <c r="B159" s="1" t="s">
        <v>160</v>
      </c>
      <c r="C159" s="1" t="s">
        <v>195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295</v>
      </c>
      <c r="B160" s="1" t="s">
        <v>413</v>
      </c>
      <c r="C160" s="1" t="s">
        <v>195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293</v>
      </c>
      <c r="B161" s="1" t="s">
        <v>166</v>
      </c>
      <c r="C161" s="1" t="s">
        <v>195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289</v>
      </c>
      <c r="B162" s="1" t="s">
        <v>161</v>
      </c>
      <c r="C162" s="1" t="s">
        <v>195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291</v>
      </c>
      <c r="B163" s="1" t="s">
        <v>184</v>
      </c>
      <c r="C163" s="1" t="s">
        <v>195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292</v>
      </c>
      <c r="B164" s="1" t="s">
        <v>146</v>
      </c>
      <c r="C164" s="1" t="s">
        <v>195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305</v>
      </c>
      <c r="B165" s="1" t="s">
        <v>160</v>
      </c>
      <c r="C165" s="1" t="s">
        <v>196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298</v>
      </c>
      <c r="B166" s="1" t="s">
        <v>146</v>
      </c>
      <c r="C166" s="1" t="s">
        <v>196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301</v>
      </c>
      <c r="B167" s="1" t="s">
        <v>160</v>
      </c>
      <c r="C167" s="1" t="s">
        <v>196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306</v>
      </c>
      <c r="B168" s="1" t="s">
        <v>170</v>
      </c>
      <c r="C168" s="1" t="s">
        <v>196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297</v>
      </c>
      <c r="B169" s="1" t="s">
        <v>160</v>
      </c>
      <c r="C169" s="1" t="s">
        <v>196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302</v>
      </c>
      <c r="B170" s="1" t="s">
        <v>160</v>
      </c>
      <c r="C170" s="1" t="s">
        <v>196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300</v>
      </c>
      <c r="B171" s="1" t="s">
        <v>160</v>
      </c>
      <c r="C171" s="1" t="s">
        <v>196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303</v>
      </c>
      <c r="B172" s="1" t="s">
        <v>184</v>
      </c>
      <c r="C172" s="1" t="s">
        <v>196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304</v>
      </c>
      <c r="B173" s="1" t="s">
        <v>184</v>
      </c>
      <c r="C173" s="1" t="s">
        <v>196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299</v>
      </c>
      <c r="B174" s="1" t="s">
        <v>160</v>
      </c>
      <c r="C174" s="1" t="s">
        <v>196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80</v>
      </c>
      <c r="B175" s="1" t="s">
        <v>162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91</v>
      </c>
      <c r="B176" s="1" t="s">
        <v>154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88</v>
      </c>
      <c r="B177" s="1" t="s">
        <v>162</v>
      </c>
      <c r="C177" s="1" t="s">
        <v>21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84</v>
      </c>
      <c r="B178" s="1" t="s">
        <v>160</v>
      </c>
      <c r="C178" s="1" t="s">
        <v>21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90</v>
      </c>
      <c r="B179" s="1" t="s">
        <v>167</v>
      </c>
      <c r="C179" s="1" t="s">
        <v>21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89</v>
      </c>
      <c r="B180" s="1" t="s">
        <v>167</v>
      </c>
      <c r="C180" s="1" t="s">
        <v>21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82</v>
      </c>
      <c r="B181" s="1" t="s">
        <v>162</v>
      </c>
      <c r="C181" s="1" t="s">
        <v>21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79</v>
      </c>
      <c r="B182" s="1" t="s">
        <v>162</v>
      </c>
      <c r="C182" s="1" t="s">
        <v>21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87</v>
      </c>
      <c r="B183" s="1" t="s">
        <v>149</v>
      </c>
      <c r="C183" s="1" t="s">
        <v>21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83</v>
      </c>
      <c r="B184" s="1" t="s">
        <v>162</v>
      </c>
      <c r="C184" s="1" t="s">
        <v>21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86</v>
      </c>
      <c r="B185" s="1" t="s">
        <v>162</v>
      </c>
      <c r="C185" s="1" t="s">
        <v>21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92</v>
      </c>
      <c r="B186" s="1" t="s">
        <v>167</v>
      </c>
      <c r="C186" s="1" t="s">
        <v>21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322</v>
      </c>
      <c r="B187" s="1" t="s">
        <v>147</v>
      </c>
      <c r="C187" s="1" t="s">
        <v>197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318</v>
      </c>
      <c r="B188" s="1" t="s">
        <v>170</v>
      </c>
      <c r="C188" s="1" t="s">
        <v>197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316</v>
      </c>
      <c r="B189" s="1" t="s">
        <v>414</v>
      </c>
      <c r="C189" s="1" t="s">
        <v>197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317</v>
      </c>
      <c r="B190" s="1" t="s">
        <v>147</v>
      </c>
      <c r="C190" s="1" t="s">
        <v>197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315</v>
      </c>
      <c r="B191" s="1" t="s">
        <v>176</v>
      </c>
      <c r="C191" s="1" t="s">
        <v>197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320</v>
      </c>
      <c r="B192" s="1" t="s">
        <v>411</v>
      </c>
      <c r="C192" s="1" t="s">
        <v>197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323</v>
      </c>
      <c r="B193" s="1" t="s">
        <v>170</v>
      </c>
      <c r="C193" s="1" t="s">
        <v>197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321</v>
      </c>
      <c r="B194" s="1" t="s">
        <v>170</v>
      </c>
      <c r="C194" s="1" t="s">
        <v>197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319</v>
      </c>
      <c r="B195" s="1" t="s">
        <v>176</v>
      </c>
      <c r="C195" s="1" t="s">
        <v>197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324</v>
      </c>
      <c r="B196" s="1" t="s">
        <v>169</v>
      </c>
      <c r="C196" s="1" t="s">
        <v>197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314</v>
      </c>
      <c r="B197" s="1" t="s">
        <v>168</v>
      </c>
      <c r="C197" s="1" t="s">
        <v>197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433</v>
      </c>
      <c r="B198" s="1" t="s">
        <v>169</v>
      </c>
      <c r="C198" s="1" t="s">
        <v>197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330</v>
      </c>
      <c r="B199" s="1" t="s">
        <v>149</v>
      </c>
      <c r="C199" s="1" t="s">
        <v>198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326</v>
      </c>
      <c r="B200" s="1" t="s">
        <v>172</v>
      </c>
      <c r="C200" s="1" t="s">
        <v>198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332</v>
      </c>
      <c r="B201" s="1" t="s">
        <v>155</v>
      </c>
      <c r="C201" s="1" t="s">
        <v>198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329</v>
      </c>
      <c r="B202" s="1" t="s">
        <v>154</v>
      </c>
      <c r="C202" s="1" t="s">
        <v>198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333</v>
      </c>
      <c r="B203" s="1" t="s">
        <v>149</v>
      </c>
      <c r="C203" s="1" t="s">
        <v>198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334</v>
      </c>
      <c r="B204" s="1" t="s">
        <v>154</v>
      </c>
      <c r="C204" s="1" t="s">
        <v>198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331</v>
      </c>
      <c r="B205" s="1" t="s">
        <v>155</v>
      </c>
      <c r="C205" s="1" t="s">
        <v>198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325</v>
      </c>
      <c r="B206" s="1" t="s">
        <v>149</v>
      </c>
      <c r="C206" s="1" t="s">
        <v>198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328</v>
      </c>
      <c r="B207" s="1" t="s">
        <v>171</v>
      </c>
      <c r="C207" s="1" t="s">
        <v>198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327</v>
      </c>
      <c r="B208" s="1" t="s">
        <v>156</v>
      </c>
      <c r="C208" s="1" t="s">
        <v>198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97</v>
      </c>
      <c r="B209" s="1" t="s">
        <v>145</v>
      </c>
      <c r="C209" s="1" t="s">
        <v>22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95</v>
      </c>
      <c r="B210" s="1" t="s">
        <v>150</v>
      </c>
      <c r="C210" s="1" t="s">
        <v>22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98</v>
      </c>
      <c r="B211" s="1" t="s">
        <v>145</v>
      </c>
      <c r="C211" s="1" t="s">
        <v>22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94</v>
      </c>
      <c r="B212" s="1" t="s">
        <v>183</v>
      </c>
      <c r="C212" s="1" t="s">
        <v>22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99</v>
      </c>
      <c r="B213" s="1" t="s">
        <v>144</v>
      </c>
      <c r="C213" s="1" t="s">
        <v>22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73</v>
      </c>
      <c r="B214" s="1" t="s">
        <v>148</v>
      </c>
      <c r="C214" s="1" t="s">
        <v>22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100</v>
      </c>
      <c r="B215" s="1" t="s">
        <v>173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93</v>
      </c>
      <c r="B216" s="1" t="s">
        <v>150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96</v>
      </c>
      <c r="B217" s="1" t="s">
        <v>179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337</v>
      </c>
      <c r="B218" s="1" t="s">
        <v>146</v>
      </c>
      <c r="C218" s="1" t="s">
        <v>199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340</v>
      </c>
      <c r="B219" s="1" t="s">
        <v>184</v>
      </c>
      <c r="C219" s="1" t="s">
        <v>199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415</v>
      </c>
      <c r="B220" s="1" t="s">
        <v>160</v>
      </c>
      <c r="C220" s="1" t="s">
        <v>199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336</v>
      </c>
      <c r="B221" s="1" t="s">
        <v>184</v>
      </c>
      <c r="C221" s="1" t="s">
        <v>199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342</v>
      </c>
      <c r="B222" s="1" t="s">
        <v>170</v>
      </c>
      <c r="C222" s="1" t="s">
        <v>199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338</v>
      </c>
      <c r="B223" s="1" t="s">
        <v>146</v>
      </c>
      <c r="C223" s="1" t="s">
        <v>199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341</v>
      </c>
      <c r="B224" s="1" t="s">
        <v>161</v>
      </c>
      <c r="C224" s="1" t="s">
        <v>199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343</v>
      </c>
      <c r="B225" s="1" t="s">
        <v>146</v>
      </c>
      <c r="C225" s="1" t="s">
        <v>199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339</v>
      </c>
      <c r="B226" s="1" t="s">
        <v>161</v>
      </c>
      <c r="C226" s="1" t="s">
        <v>199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420</v>
      </c>
      <c r="B227" s="1" t="s">
        <v>160</v>
      </c>
      <c r="C227" s="1" t="s">
        <v>199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335</v>
      </c>
      <c r="B228" s="1" t="s">
        <v>160</v>
      </c>
      <c r="C228" s="1" t="s">
        <v>199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345</v>
      </c>
      <c r="B229" s="1" t="s">
        <v>159</v>
      </c>
      <c r="C229" s="1" t="s">
        <v>200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349</v>
      </c>
      <c r="B230" s="1" t="s">
        <v>149</v>
      </c>
      <c r="C230" s="1" t="s">
        <v>200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352</v>
      </c>
      <c r="B231" s="1" t="s">
        <v>157</v>
      </c>
      <c r="C231" s="1" t="s">
        <v>200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227</v>
      </c>
      <c r="B232" s="1" t="s">
        <v>163</v>
      </c>
      <c r="C232" s="1" t="s">
        <v>200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346</v>
      </c>
      <c r="B233" s="1" t="s">
        <v>157</v>
      </c>
      <c r="C233" s="1" t="s">
        <v>200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348</v>
      </c>
      <c r="B234" s="1" t="s">
        <v>157</v>
      </c>
      <c r="C234" s="1" t="s">
        <v>200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228</v>
      </c>
      <c r="B235" s="1" t="s">
        <v>163</v>
      </c>
      <c r="C235" s="1" t="s">
        <v>200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351</v>
      </c>
      <c r="B236" s="1" t="s">
        <v>171</v>
      </c>
      <c r="C236" s="1" t="s">
        <v>200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353</v>
      </c>
      <c r="B237" s="1" t="s">
        <v>159</v>
      </c>
      <c r="C237" s="1" t="s">
        <v>200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347</v>
      </c>
      <c r="B238" s="1" t="s">
        <v>159</v>
      </c>
      <c r="C238" s="1" t="s">
        <v>200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350</v>
      </c>
      <c r="B239" s="1" t="s">
        <v>159</v>
      </c>
      <c r="C239" s="1" t="s">
        <v>200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103</v>
      </c>
      <c r="B240" s="1" t="s">
        <v>164</v>
      </c>
      <c r="C240" s="1" t="s">
        <v>23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109</v>
      </c>
      <c r="B241" s="1" t="s">
        <v>164</v>
      </c>
      <c r="C241" s="1" t="s">
        <v>23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102</v>
      </c>
      <c r="B242" s="1" t="s">
        <v>144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106</v>
      </c>
      <c r="B243" s="1" t="s">
        <v>175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104</v>
      </c>
      <c r="B244" s="1" t="s">
        <v>175</v>
      </c>
      <c r="C244" s="1" t="s">
        <v>23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108</v>
      </c>
      <c r="B245" s="1" t="s">
        <v>144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105</v>
      </c>
      <c r="B246" s="1" t="s">
        <v>144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101</v>
      </c>
      <c r="B247" s="1" t="s">
        <v>144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110</v>
      </c>
      <c r="B248" s="1" t="s">
        <v>177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107</v>
      </c>
      <c r="B249" s="1" t="s">
        <v>177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355</v>
      </c>
      <c r="B250" s="1" t="s">
        <v>411</v>
      </c>
      <c r="C250" s="1" t="s">
        <v>201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78</v>
      </c>
      <c r="B251" s="1" t="s">
        <v>160</v>
      </c>
      <c r="C251" s="1" t="s">
        <v>201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358</v>
      </c>
      <c r="B252" s="1" t="s">
        <v>161</v>
      </c>
      <c r="C252" s="1" t="s">
        <v>201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356</v>
      </c>
      <c r="B253" s="1" t="s">
        <v>160</v>
      </c>
      <c r="C253" s="1" t="s">
        <v>201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354</v>
      </c>
      <c r="B254" s="1" t="s">
        <v>166</v>
      </c>
      <c r="C254" s="1" t="s">
        <v>201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359</v>
      </c>
      <c r="B255" s="1" t="s">
        <v>161</v>
      </c>
      <c r="C255" s="1" t="s">
        <v>201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357</v>
      </c>
      <c r="B256" s="1" t="s">
        <v>161</v>
      </c>
      <c r="C256" s="1" t="s">
        <v>201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143</v>
      </c>
      <c r="B257" s="1" t="s">
        <v>170</v>
      </c>
      <c r="C257" s="1" t="s">
        <v>201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119</v>
      </c>
      <c r="B258" s="1" t="s">
        <v>163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120</v>
      </c>
      <c r="B259" s="1" t="s">
        <v>165</v>
      </c>
      <c r="C259" s="1" t="s">
        <v>24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117</v>
      </c>
      <c r="B260" s="1" t="s">
        <v>163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113</v>
      </c>
      <c r="B261" s="1" t="s">
        <v>147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112</v>
      </c>
      <c r="B262" s="1" t="s">
        <v>151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115</v>
      </c>
      <c r="B263" s="1" t="s">
        <v>157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118</v>
      </c>
      <c r="B264" s="1" t="s">
        <v>158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122</v>
      </c>
      <c r="B265" s="1" t="s">
        <v>182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121</v>
      </c>
      <c r="B266" s="1" t="s">
        <v>182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114</v>
      </c>
      <c r="B267" s="1" t="s">
        <v>168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111</v>
      </c>
      <c r="B268" s="1" t="s">
        <v>159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116</v>
      </c>
      <c r="B269" s="1" t="s">
        <v>159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362</v>
      </c>
      <c r="B270" s="1" t="s">
        <v>169</v>
      </c>
      <c r="C270" s="1" t="s">
        <v>202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366</v>
      </c>
      <c r="B271" s="1" t="s">
        <v>168</v>
      </c>
      <c r="C271" s="1" t="s">
        <v>202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367</v>
      </c>
      <c r="B272" s="1" t="s">
        <v>159</v>
      </c>
      <c r="C272" s="1" t="s">
        <v>202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360</v>
      </c>
      <c r="B273" s="1" t="s">
        <v>169</v>
      </c>
      <c r="C273" s="1" t="s">
        <v>202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252</v>
      </c>
      <c r="B274" s="1" t="s">
        <v>169</v>
      </c>
      <c r="C274" s="1" t="s">
        <v>202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370</v>
      </c>
      <c r="B275" s="1" t="s">
        <v>168</v>
      </c>
      <c r="C275" s="1" t="s">
        <v>202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368</v>
      </c>
      <c r="B276" s="1" t="s">
        <v>151</v>
      </c>
      <c r="C276" s="1" t="s">
        <v>202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371</v>
      </c>
      <c r="B277" s="1" t="s">
        <v>168</v>
      </c>
      <c r="C277" s="1" t="s">
        <v>202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365</v>
      </c>
      <c r="B278" s="1" t="s">
        <v>169</v>
      </c>
      <c r="C278" s="1" t="s">
        <v>202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363</v>
      </c>
      <c r="B279" s="1" t="s">
        <v>169</v>
      </c>
      <c r="C279" s="1" t="s">
        <v>202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369</v>
      </c>
      <c r="B280" s="1" t="s">
        <v>168</v>
      </c>
      <c r="C280" s="1" t="s">
        <v>202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434</v>
      </c>
      <c r="B281" s="1" t="s">
        <v>165</v>
      </c>
      <c r="C281" s="1" t="s">
        <v>203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376</v>
      </c>
      <c r="B282" s="1" t="s">
        <v>148</v>
      </c>
      <c r="C282" s="1" t="s">
        <v>203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375</v>
      </c>
      <c r="B283" s="1" t="s">
        <v>158</v>
      </c>
      <c r="C283" s="1" t="s">
        <v>203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380</v>
      </c>
      <c r="B284" s="1" t="s">
        <v>158</v>
      </c>
      <c r="C284" s="1" t="s">
        <v>203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379</v>
      </c>
      <c r="B285" s="1" t="s">
        <v>158</v>
      </c>
      <c r="C285" s="1" t="s">
        <v>203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372</v>
      </c>
      <c r="B286" s="1" t="s">
        <v>148</v>
      </c>
      <c r="C286" s="1" t="s">
        <v>203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377</v>
      </c>
      <c r="B287" s="1" t="s">
        <v>158</v>
      </c>
      <c r="C287" s="1" t="s">
        <v>203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374</v>
      </c>
      <c r="B288" s="1" t="s">
        <v>148</v>
      </c>
      <c r="C288" s="1" t="s">
        <v>203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373</v>
      </c>
      <c r="B289" s="1" t="s">
        <v>148</v>
      </c>
      <c r="C289" s="1" t="s">
        <v>203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406</v>
      </c>
      <c r="B290" s="1" t="s">
        <v>148</v>
      </c>
      <c r="C290" s="1" t="s">
        <v>203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418</v>
      </c>
      <c r="B291" s="1" t="s">
        <v>148</v>
      </c>
      <c r="C291" s="1" t="s">
        <v>203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378</v>
      </c>
      <c r="B292" s="1" t="s">
        <v>148</v>
      </c>
      <c r="C292" s="1" t="s">
        <v>203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389</v>
      </c>
      <c r="B293" s="1" t="s">
        <v>163</v>
      </c>
      <c r="C293" s="1" t="s">
        <v>204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384</v>
      </c>
      <c r="B294" s="1" t="s">
        <v>163</v>
      </c>
      <c r="C294" s="1" t="s">
        <v>204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385</v>
      </c>
      <c r="B295" s="1" t="s">
        <v>182</v>
      </c>
      <c r="C295" s="1" t="s">
        <v>204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390</v>
      </c>
      <c r="B296" s="1" t="s">
        <v>165</v>
      </c>
      <c r="C296" s="1" t="s">
        <v>204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386</v>
      </c>
      <c r="B297" s="1" t="s">
        <v>158</v>
      </c>
      <c r="C297" s="1" t="s">
        <v>204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387</v>
      </c>
      <c r="B298" s="1" t="s">
        <v>182</v>
      </c>
      <c r="C298" s="1" t="s">
        <v>204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382</v>
      </c>
      <c r="B299" s="1" t="s">
        <v>182</v>
      </c>
      <c r="C299" s="1" t="s">
        <v>204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381</v>
      </c>
      <c r="B300" s="1" t="s">
        <v>148</v>
      </c>
      <c r="C300" s="1" t="s">
        <v>204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388</v>
      </c>
      <c r="B301" s="1" t="s">
        <v>158</v>
      </c>
      <c r="C301" s="1" t="s">
        <v>204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383</v>
      </c>
      <c r="B302" s="1" t="s">
        <v>148</v>
      </c>
      <c r="C302" s="1" t="s">
        <v>204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405</v>
      </c>
      <c r="B303" s="1" t="s">
        <v>158</v>
      </c>
      <c r="C303" s="1" t="s">
        <v>440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408</v>
      </c>
      <c r="B304" s="1" t="s">
        <v>154</v>
      </c>
      <c r="C304" s="1" t="s">
        <v>440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308</v>
      </c>
      <c r="B305" s="1" t="s">
        <v>154</v>
      </c>
      <c r="C305" s="1" t="s">
        <v>440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421</v>
      </c>
      <c r="B306" s="1" t="s">
        <v>171</v>
      </c>
      <c r="C306" s="1" t="s">
        <v>440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425</v>
      </c>
      <c r="B307" s="1" t="s">
        <v>429</v>
      </c>
      <c r="C307" s="1" t="s">
        <v>440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309</v>
      </c>
      <c r="B308" s="1" t="s">
        <v>167</v>
      </c>
      <c r="C308" s="1" t="s">
        <v>440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310</v>
      </c>
      <c r="B309" s="1" t="s">
        <v>174</v>
      </c>
      <c r="C309" s="1" t="s">
        <v>440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427</v>
      </c>
      <c r="B310" s="1" t="s">
        <v>428</v>
      </c>
      <c r="C310" s="1" t="s">
        <v>440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311</v>
      </c>
      <c r="B311" s="1" t="s">
        <v>150</v>
      </c>
      <c r="C311" s="1" t="s">
        <v>440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312</v>
      </c>
      <c r="B312" s="1" t="s">
        <v>149</v>
      </c>
      <c r="C312" s="1" t="s">
        <v>440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128</v>
      </c>
      <c r="B313" s="1" t="s">
        <v>165</v>
      </c>
      <c r="C313" s="1" t="s">
        <v>25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396</v>
      </c>
      <c r="B314" s="1" t="s">
        <v>145</v>
      </c>
      <c r="C314" s="1" t="s">
        <v>25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393</v>
      </c>
      <c r="B315" s="1" t="s">
        <v>147</v>
      </c>
      <c r="C315" s="1" t="s">
        <v>25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235</v>
      </c>
      <c r="B316" s="1" t="s">
        <v>147</v>
      </c>
      <c r="C316" s="1" t="s">
        <v>25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392</v>
      </c>
      <c r="B317" s="1" t="s">
        <v>165</v>
      </c>
      <c r="C317" s="1" t="s">
        <v>25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131</v>
      </c>
      <c r="B318" s="1" t="s">
        <v>158</v>
      </c>
      <c r="C318" s="1" t="s">
        <v>25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127</v>
      </c>
      <c r="B319" s="1" t="s">
        <v>158</v>
      </c>
      <c r="C319" s="1" t="s">
        <v>25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126</v>
      </c>
      <c r="B320" s="1" t="s">
        <v>159</v>
      </c>
      <c r="C320" s="1" t="s">
        <v>25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395</v>
      </c>
      <c r="B321" s="1" t="s">
        <v>158</v>
      </c>
      <c r="C321" s="1" t="s">
        <v>25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123</v>
      </c>
      <c r="B322" s="1" t="s">
        <v>148</v>
      </c>
      <c r="C322" s="1" t="s">
        <v>25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394</v>
      </c>
      <c r="B323" s="1" t="s">
        <v>163</v>
      </c>
      <c r="C323" s="1" t="s">
        <v>25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124</v>
      </c>
      <c r="B324" s="1" t="s">
        <v>163</v>
      </c>
      <c r="C324" s="1" t="s">
        <v>25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391</v>
      </c>
      <c r="B325" s="1" t="s">
        <v>157</v>
      </c>
      <c r="C325" s="1" t="s">
        <v>25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397</v>
      </c>
      <c r="B326" s="1" t="s">
        <v>177</v>
      </c>
      <c r="C326" s="1" t="s">
        <v>205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403</v>
      </c>
      <c r="B327" s="1" t="s">
        <v>144</v>
      </c>
      <c r="C327" s="1" t="s">
        <v>205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400</v>
      </c>
      <c r="B328" s="1" t="s">
        <v>144</v>
      </c>
      <c r="C328" s="1" t="s">
        <v>205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402</v>
      </c>
      <c r="B329" s="1" t="s">
        <v>175</v>
      </c>
      <c r="C329" s="1" t="s">
        <v>205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401</v>
      </c>
      <c r="B330" s="1" t="s">
        <v>144</v>
      </c>
      <c r="C330" s="1" t="s">
        <v>205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398</v>
      </c>
      <c r="B331" s="1" t="s">
        <v>144</v>
      </c>
      <c r="C331" s="1" t="s">
        <v>205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399</v>
      </c>
      <c r="B332" s="1" t="s">
        <v>144</v>
      </c>
      <c r="C332" s="1" t="s">
        <v>205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404</v>
      </c>
      <c r="B333" s="1" t="s">
        <v>144</v>
      </c>
      <c r="C333" s="1" t="s">
        <v>205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  <row r="334" spans="1:6" x14ac:dyDescent="0.3">
      <c r="A334" s="1" t="s">
        <v>132</v>
      </c>
      <c r="B334" s="1" t="s">
        <v>153</v>
      </c>
      <c r="C334" s="1" t="s">
        <v>26</v>
      </c>
      <c r="D334" s="1">
        <f>COUNTIF(Tabela1[Team],Tabela2[[#This Row],[Team]])</f>
        <v>0</v>
      </c>
      <c r="E334" s="1">
        <f>Tabela2[[#This Row],[Number Players]]-Tabela2[[#This Row],[Total Players]]</f>
        <v>0</v>
      </c>
      <c r="F334" s="1"/>
    </row>
    <row r="335" spans="1:6" x14ac:dyDescent="0.3">
      <c r="A335" s="1" t="s">
        <v>134</v>
      </c>
      <c r="B335" s="1" t="s">
        <v>144</v>
      </c>
      <c r="C335" s="1" t="s">
        <v>26</v>
      </c>
      <c r="D335" s="1">
        <f>COUNTIF(Tabela1[Team],Tabela2[[#This Row],[Team]])</f>
        <v>0</v>
      </c>
      <c r="E335" s="1">
        <f>Tabela2[[#This Row],[Number Players]]-Tabela2[[#This Row],[Total Players]]</f>
        <v>0</v>
      </c>
      <c r="F335" s="1"/>
    </row>
    <row r="336" spans="1:6" x14ac:dyDescent="0.3">
      <c r="A336" s="1" t="s">
        <v>141</v>
      </c>
      <c r="B336" s="1" t="s">
        <v>152</v>
      </c>
      <c r="C336" s="1" t="s">
        <v>26</v>
      </c>
      <c r="D336" s="1">
        <f>COUNTIF(Tabela1[Team],Tabela2[[#This Row],[Team]])</f>
        <v>0</v>
      </c>
      <c r="E336" s="1">
        <f>Tabela2[[#This Row],[Number Players]]-Tabela2[[#This Row],[Total Players]]</f>
        <v>0</v>
      </c>
      <c r="F336" s="1"/>
    </row>
    <row r="337" spans="1:6" x14ac:dyDescent="0.3">
      <c r="A337" s="1" t="s">
        <v>130</v>
      </c>
      <c r="B337" s="1" t="s">
        <v>153</v>
      </c>
      <c r="C337" s="1" t="s">
        <v>26</v>
      </c>
      <c r="D337" s="1">
        <f>COUNTIF(Tabela1[Team],Tabela2[[#This Row],[Team]])</f>
        <v>0</v>
      </c>
      <c r="E337" s="1">
        <f>Tabela2[[#This Row],[Number Players]]-Tabela2[[#This Row],[Total Players]]</f>
        <v>0</v>
      </c>
      <c r="F337" s="1"/>
    </row>
    <row r="338" spans="1:6" x14ac:dyDescent="0.3">
      <c r="A338" s="1" t="s">
        <v>135</v>
      </c>
      <c r="B338" s="1" t="s">
        <v>158</v>
      </c>
      <c r="C338" s="1" t="s">
        <v>26</v>
      </c>
      <c r="D338" s="1">
        <f>COUNTIF(Tabela1[Team],Tabela2[[#This Row],[Team]])</f>
        <v>0</v>
      </c>
      <c r="E338" s="1">
        <f>Tabela2[[#This Row],[Number Players]]-Tabela2[[#This Row],[Total Players]]</f>
        <v>0</v>
      </c>
      <c r="F338" s="1"/>
    </row>
    <row r="339" spans="1:6" x14ac:dyDescent="0.3">
      <c r="A339" s="1" t="s">
        <v>136</v>
      </c>
      <c r="B339" s="1" t="s">
        <v>173</v>
      </c>
      <c r="C339" s="1" t="s">
        <v>26</v>
      </c>
      <c r="D339" s="1">
        <f>COUNTIF(Tabela1[Team],Tabela2[[#This Row],[Team]])</f>
        <v>0</v>
      </c>
      <c r="E339" s="1">
        <f>Tabela2[[#This Row],[Number Players]]-Tabela2[[#This Row],[Total Players]]</f>
        <v>0</v>
      </c>
      <c r="F339" s="1"/>
    </row>
    <row r="340" spans="1:6" x14ac:dyDescent="0.3">
      <c r="A340" s="1" t="s">
        <v>125</v>
      </c>
      <c r="B340" s="1" t="s">
        <v>183</v>
      </c>
      <c r="C340" s="1" t="s">
        <v>26</v>
      </c>
      <c r="D340" s="1">
        <f>COUNTIF(Tabela1[Team],Tabela2[[#This Row],[Team]])</f>
        <v>0</v>
      </c>
      <c r="E340" s="1">
        <f>Tabela2[[#This Row],[Number Players]]-Tabela2[[#This Row],[Total Players]]</f>
        <v>0</v>
      </c>
      <c r="F340" s="1"/>
    </row>
    <row r="341" spans="1:6" x14ac:dyDescent="0.3">
      <c r="A341" s="1" t="s">
        <v>140</v>
      </c>
      <c r="B341" s="1" t="s">
        <v>144</v>
      </c>
      <c r="C341" s="1" t="s">
        <v>26</v>
      </c>
      <c r="D341" s="1">
        <f>COUNTIF(Tabela1[Team],Tabela2[[#This Row],[Team]])</f>
        <v>0</v>
      </c>
      <c r="E341" s="1">
        <f>Tabela2[[#This Row],[Number Players]]-Tabela2[[#This Row],[Total Players]]</f>
        <v>0</v>
      </c>
      <c r="F341" s="1"/>
    </row>
    <row r="342" spans="1:6" x14ac:dyDescent="0.3">
      <c r="A342" s="1" t="s">
        <v>129</v>
      </c>
      <c r="B342" s="1" t="s">
        <v>150</v>
      </c>
      <c r="C342" s="1" t="s">
        <v>26</v>
      </c>
      <c r="D342" s="1">
        <f>COUNTIF(Tabela1[Team],Tabela2[[#This Row],[Team]])</f>
        <v>0</v>
      </c>
      <c r="E342" s="1">
        <f>Tabela2[[#This Row],[Number Players]]-Tabela2[[#This Row],[Total Players]]</f>
        <v>0</v>
      </c>
      <c r="F342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189</v>
      </c>
      <c r="B5" s="1">
        <f>COUNTIF(Tabela2[Conference],Tabela4[[#This Row],[Conference]])</f>
        <v>12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16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9</v>
      </c>
    </row>
    <row r="12" spans="1:2" x14ac:dyDescent="0.3">
      <c r="A12" s="1" t="s">
        <v>193</v>
      </c>
      <c r="B12" s="1">
        <f>COUNTIF(Tabela2[Conference],Tabela4[[#This Row],[Conference]])</f>
        <v>12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10</v>
      </c>
    </row>
    <row r="15" spans="1:2" x14ac:dyDescent="0.3">
      <c r="A15" s="1" t="s">
        <v>27</v>
      </c>
      <c r="B15" s="1">
        <f>COUNTIF(Tabela2[Conference],Tabela4[[#This Row],[Conference]])</f>
        <v>9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12</v>
      </c>
    </row>
    <row r="19" spans="1:2" x14ac:dyDescent="0.3">
      <c r="A19" s="1" t="s">
        <v>197</v>
      </c>
      <c r="B19" s="1">
        <f>COUNTIF(Tabela2[Conference],Tabela4[[#This Row],[Conference]])</f>
        <v>12</v>
      </c>
    </row>
    <row r="20" spans="1:2" x14ac:dyDescent="0.3">
      <c r="A20" s="1" t="s">
        <v>198</v>
      </c>
      <c r="B20" s="1">
        <f>COUNTIF(Tabela2[Conference],Tabela4[[#This Row],[Conference]])</f>
        <v>10</v>
      </c>
    </row>
    <row r="21" spans="1:2" x14ac:dyDescent="0.3">
      <c r="A21" s="1" t="s">
        <v>22</v>
      </c>
      <c r="B21" s="1">
        <f>COUNTIF(Tabela2[Conference],Tabela4[[#This Row],[Conference]])</f>
        <v>9</v>
      </c>
    </row>
    <row r="22" spans="1:2" x14ac:dyDescent="0.3">
      <c r="A22" s="1" t="s">
        <v>199</v>
      </c>
      <c r="B22" s="1">
        <f>COUNTIF(Tabela2[Conference],Tabela4[[#This Row],[Conference]])</f>
        <v>11</v>
      </c>
    </row>
    <row r="23" spans="1:2" x14ac:dyDescent="0.3">
      <c r="A23" s="1" t="s">
        <v>200</v>
      </c>
      <c r="B23" s="1">
        <f>COUNTIF(Tabela2[Conference],Tabela4[[#This Row],[Conference]])</f>
        <v>11</v>
      </c>
    </row>
    <row r="24" spans="1:2" x14ac:dyDescent="0.3">
      <c r="A24" s="1" t="s">
        <v>23</v>
      </c>
      <c r="B24" s="1">
        <f>COUNTIF(Tabela2[Conference],Tabela4[[#This Row],[Conference]])</f>
        <v>10</v>
      </c>
    </row>
    <row r="25" spans="1:2" x14ac:dyDescent="0.3">
      <c r="A25" s="1" t="s">
        <v>201</v>
      </c>
      <c r="B25" s="1">
        <f>COUNTIF(Tabela2[Conference],Tabela4[[#This Row],[Conference]])</f>
        <v>8</v>
      </c>
    </row>
    <row r="26" spans="1:2" x14ac:dyDescent="0.3">
      <c r="A26" s="1" t="s">
        <v>24</v>
      </c>
      <c r="B26" s="1">
        <f>COUNTIF(Tabela2[Conference],Tabela4[[#This Row],[Conference]])</f>
        <v>12</v>
      </c>
    </row>
    <row r="27" spans="1:2" x14ac:dyDescent="0.3">
      <c r="A27" s="1" t="s">
        <v>202</v>
      </c>
      <c r="B27" s="1">
        <f>COUNTIF(Tabela2[Conference],Tabela4[[#This Row],[Conference]])</f>
        <v>11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10</v>
      </c>
    </row>
    <row r="30" spans="1:2" x14ac:dyDescent="0.3">
      <c r="A30" s="1" t="s">
        <v>440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13</v>
      </c>
    </row>
    <row r="32" spans="1:2" x14ac:dyDescent="0.3">
      <c r="A32" s="1" t="s">
        <v>205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2008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2009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2010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2011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2012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2026-01-29T00:18:13Z</dcterms:modified>
</cp:coreProperties>
</file>